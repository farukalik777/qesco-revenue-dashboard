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55" windowWidth="16935" windowHeight="8640"/>
  </bookViews>
  <sheets>
    <sheet name="Export Worksheet" sheetId="1" r:id="rId1"/>
    <sheet name="SQL" sheetId="2" r:id="rId2"/>
  </sheets>
  <definedNames>
    <definedName name="_xlnm._FilterDatabase" localSheetId="0" hidden="1">'Export Worksheet'!$A$1:$X$486</definedName>
  </definedNames>
  <calcPr calcId="124519"/>
</workbook>
</file>

<file path=xl/calcChain.xml><?xml version="1.0" encoding="utf-8"?>
<calcChain xmlns="http://schemas.openxmlformats.org/spreadsheetml/2006/main">
  <c r="U483" i="1"/>
  <c r="X483" s="1"/>
  <c r="U482"/>
  <c r="X482" s="1"/>
  <c r="U481"/>
  <c r="X481" s="1"/>
  <c r="U480"/>
  <c r="X480" s="1"/>
  <c r="U479"/>
  <c r="W479" s="1"/>
  <c r="U478"/>
  <c r="X478" s="1"/>
  <c r="U471"/>
  <c r="X471" s="1"/>
  <c r="U470"/>
  <c r="X470" s="1"/>
  <c r="U468"/>
  <c r="W468" s="1"/>
  <c r="U465"/>
  <c r="W465" s="1"/>
  <c r="U464"/>
  <c r="W464" s="1"/>
  <c r="U463"/>
  <c r="X463" s="1"/>
  <c r="U462"/>
  <c r="X462" s="1"/>
  <c r="U461"/>
  <c r="W461" s="1"/>
  <c r="U460"/>
  <c r="W460" s="1"/>
  <c r="U459"/>
  <c r="X459" s="1"/>
  <c r="U458"/>
  <c r="X458" s="1"/>
  <c r="U457"/>
  <c r="W457" s="1"/>
  <c r="U456"/>
  <c r="W456" s="1"/>
  <c r="U455"/>
  <c r="X455" s="1"/>
  <c r="U452"/>
  <c r="W452" s="1"/>
  <c r="U450"/>
  <c r="X450" s="1"/>
  <c r="U446"/>
  <c r="X446" s="1"/>
  <c r="U445"/>
  <c r="W445" s="1"/>
  <c r="U442"/>
  <c r="X442" s="1"/>
  <c r="U429"/>
  <c r="W429" s="1"/>
  <c r="U428"/>
  <c r="W428" s="1"/>
  <c r="U427"/>
  <c r="X427" s="1"/>
  <c r="U426"/>
  <c r="X426" s="1"/>
  <c r="U425"/>
  <c r="W425" s="1"/>
  <c r="U424"/>
  <c r="W424" s="1"/>
  <c r="U423"/>
  <c r="X423" s="1"/>
  <c r="U422"/>
  <c r="X422" s="1"/>
  <c r="U419"/>
  <c r="X419" s="1"/>
  <c r="U418"/>
  <c r="X418" s="1"/>
  <c r="U417"/>
  <c r="W417" s="1"/>
  <c r="U416"/>
  <c r="W416" s="1"/>
  <c r="U415"/>
  <c r="X415" s="1"/>
  <c r="U414"/>
  <c r="X414" s="1"/>
  <c r="U413"/>
  <c r="W413" s="1"/>
  <c r="U407"/>
  <c r="X407" s="1"/>
  <c r="U374"/>
  <c r="W374" s="1"/>
  <c r="U369"/>
  <c r="W369" s="1"/>
  <c r="U368"/>
  <c r="W368" s="1"/>
  <c r="U366"/>
  <c r="X366" s="1"/>
  <c r="U365"/>
  <c r="W365" s="1"/>
  <c r="U364"/>
  <c r="W364" s="1"/>
  <c r="U362"/>
  <c r="X362" s="1"/>
  <c r="U353"/>
  <c r="W353" s="1"/>
  <c r="U352"/>
  <c r="W352" s="1"/>
  <c r="U349"/>
  <c r="W349" s="1"/>
  <c r="U348"/>
  <c r="U347"/>
  <c r="W347" s="1"/>
  <c r="U344"/>
  <c r="W344" s="1"/>
  <c r="U343"/>
  <c r="X343" s="1"/>
  <c r="U342"/>
  <c r="X342" s="1"/>
  <c r="U340"/>
  <c r="W340" s="1"/>
  <c r="U339"/>
  <c r="W339" s="1"/>
  <c r="U335"/>
  <c r="X335" s="1"/>
  <c r="U334"/>
  <c r="X334" s="1"/>
  <c r="U326"/>
  <c r="X326" s="1"/>
  <c r="U321"/>
  <c r="W321" s="1"/>
  <c r="U315"/>
  <c r="X315" s="1"/>
  <c r="U308"/>
  <c r="W308" s="1"/>
  <c r="U302"/>
  <c r="X302" s="1"/>
  <c r="U297"/>
  <c r="W297" s="1"/>
  <c r="U294"/>
  <c r="X294" s="1"/>
  <c r="U293"/>
  <c r="W293" s="1"/>
  <c r="U292"/>
  <c r="W292" s="1"/>
  <c r="U291"/>
  <c r="X291" s="1"/>
  <c r="U290"/>
  <c r="X290" s="1"/>
  <c r="U289"/>
  <c r="W289" s="1"/>
  <c r="U288"/>
  <c r="W288" s="1"/>
  <c r="U282"/>
  <c r="X282" s="1"/>
  <c r="U281"/>
  <c r="W281" s="1"/>
  <c r="U280"/>
  <c r="W280" s="1"/>
  <c r="U279"/>
  <c r="W279" s="1"/>
  <c r="U278"/>
  <c r="X278" s="1"/>
  <c r="U277"/>
  <c r="W277" s="1"/>
  <c r="U276"/>
  <c r="W276" s="1"/>
  <c r="U275"/>
  <c r="W275" s="1"/>
  <c r="U274"/>
  <c r="X274" s="1"/>
  <c r="U273"/>
  <c r="W273" s="1"/>
  <c r="U272"/>
  <c r="W272" s="1"/>
  <c r="U271"/>
  <c r="W271" s="1"/>
  <c r="U268"/>
  <c r="W268" s="1"/>
  <c r="U267"/>
  <c r="W267" s="1"/>
  <c r="U265"/>
  <c r="W265" s="1"/>
  <c r="U258"/>
  <c r="X258" s="1"/>
  <c r="U256"/>
  <c r="W256" s="1"/>
  <c r="U255"/>
  <c r="W255" s="1"/>
  <c r="U254"/>
  <c r="X254" s="1"/>
  <c r="U244"/>
  <c r="W244" s="1"/>
  <c r="U232"/>
  <c r="W232" s="1"/>
  <c r="U220"/>
  <c r="W220" s="1"/>
  <c r="U219"/>
  <c r="W219" s="1"/>
  <c r="U218"/>
  <c r="X218" s="1"/>
  <c r="U211"/>
  <c r="W211" s="1"/>
  <c r="U210"/>
  <c r="X210" s="1"/>
  <c r="U209"/>
  <c r="W209" s="1"/>
  <c r="U208"/>
  <c r="W208" s="1"/>
  <c r="U206"/>
  <c r="X206" s="1"/>
  <c r="U205"/>
  <c r="W205" s="1"/>
  <c r="U204"/>
  <c r="W204" s="1"/>
  <c r="U203"/>
  <c r="W203" s="1"/>
  <c r="U202"/>
  <c r="X202" s="1"/>
  <c r="U201"/>
  <c r="W201" s="1"/>
  <c r="U200"/>
  <c r="W200" s="1"/>
  <c r="U199"/>
  <c r="W199" s="1"/>
  <c r="U198"/>
  <c r="X198" s="1"/>
  <c r="U197"/>
  <c r="W197" s="1"/>
  <c r="U172"/>
  <c r="W172" s="1"/>
  <c r="U171"/>
  <c r="X171" s="1"/>
  <c r="U170"/>
  <c r="X170" s="1"/>
  <c r="U169"/>
  <c r="W169" s="1"/>
  <c r="U168"/>
  <c r="W168" s="1"/>
  <c r="U165"/>
  <c r="W165" s="1"/>
  <c r="U164"/>
  <c r="W164" s="1"/>
  <c r="U163"/>
  <c r="W163" s="1"/>
  <c r="U162"/>
  <c r="X162" s="1"/>
  <c r="U160"/>
  <c r="W160" s="1"/>
  <c r="U158"/>
  <c r="X158" s="1"/>
  <c r="U157"/>
  <c r="W157" s="1"/>
  <c r="U156"/>
  <c r="W156" s="1"/>
  <c r="U155"/>
  <c r="X155" s="1"/>
  <c r="U154"/>
  <c r="W154" s="1"/>
  <c r="U150"/>
  <c r="W150" s="1"/>
  <c r="U149"/>
  <c r="W149" s="1"/>
  <c r="U148"/>
  <c r="W148" s="1"/>
  <c r="U147"/>
  <c r="X147" s="1"/>
  <c r="U145"/>
  <c r="W145" s="1"/>
  <c r="U144"/>
  <c r="W144" s="1"/>
  <c r="U143"/>
  <c r="X143" s="1"/>
  <c r="U140"/>
  <c r="W140" s="1"/>
  <c r="U139"/>
  <c r="X139" s="1"/>
  <c r="U138"/>
  <c r="W138" s="1"/>
  <c r="U136"/>
  <c r="X136" s="1"/>
  <c r="U135"/>
  <c r="X135" s="1"/>
  <c r="U134"/>
  <c r="W134" s="1"/>
  <c r="U132"/>
  <c r="X132" s="1"/>
  <c r="U129"/>
  <c r="X129" s="1"/>
  <c r="U128"/>
  <c r="X128" s="1"/>
  <c r="U126"/>
  <c r="W126" s="1"/>
  <c r="U124"/>
  <c r="W124" s="1"/>
  <c r="U122"/>
  <c r="W122" s="1"/>
  <c r="U121"/>
  <c r="W121" s="1"/>
  <c r="U120"/>
  <c r="W120" s="1"/>
  <c r="U119"/>
  <c r="X119" s="1"/>
  <c r="U118"/>
  <c r="W118" s="1"/>
  <c r="U117"/>
  <c r="W117" s="1"/>
  <c r="U116"/>
  <c r="W116" s="1"/>
  <c r="U115"/>
  <c r="X115" s="1"/>
  <c r="U114"/>
  <c r="W114" s="1"/>
  <c r="U113"/>
  <c r="W113" s="1"/>
  <c r="U104"/>
  <c r="W104" s="1"/>
  <c r="U103"/>
  <c r="X103" s="1"/>
  <c r="U101"/>
  <c r="W101" s="1"/>
  <c r="U100"/>
  <c r="W100" s="1"/>
  <c r="U96"/>
  <c r="W96" s="1"/>
  <c r="U95"/>
  <c r="X95" s="1"/>
  <c r="U89"/>
  <c r="W89" s="1"/>
  <c r="U88"/>
  <c r="W88" s="1"/>
  <c r="U87"/>
  <c r="X87" s="1"/>
  <c r="U82"/>
  <c r="W82" s="1"/>
  <c r="U81"/>
  <c r="X81" s="1"/>
  <c r="U40"/>
  <c r="X40" s="1"/>
  <c r="U39"/>
  <c r="X39" s="1"/>
  <c r="U38"/>
  <c r="W38" s="1"/>
  <c r="U36"/>
  <c r="X36" s="1"/>
  <c r="U35"/>
  <c r="X35" s="1"/>
  <c r="U33"/>
  <c r="W33" s="1"/>
  <c r="U22"/>
  <c r="W22" s="1"/>
  <c r="U9"/>
  <c r="W9" s="1"/>
  <c r="U8"/>
  <c r="W8" s="1"/>
  <c r="U4"/>
  <c r="W4" s="1"/>
  <c r="U3"/>
  <c r="X3" s="1"/>
  <c r="I486"/>
  <c r="J486"/>
  <c r="K486"/>
  <c r="L486"/>
  <c r="M486"/>
  <c r="N486"/>
  <c r="O486"/>
  <c r="P486"/>
  <c r="Q486"/>
  <c r="R486"/>
  <c r="U484"/>
  <c r="X484" s="1"/>
  <c r="W348"/>
  <c r="V486"/>
  <c r="T486"/>
  <c r="S486"/>
  <c r="U485"/>
  <c r="X485" s="1"/>
  <c r="U2"/>
  <c r="W2" s="1"/>
  <c r="U477"/>
  <c r="W477" s="1"/>
  <c r="U469"/>
  <c r="W469" s="1"/>
  <c r="U467"/>
  <c r="X467" s="1"/>
  <c r="U454"/>
  <c r="X454" s="1"/>
  <c r="U451"/>
  <c r="X451" s="1"/>
  <c r="U449"/>
  <c r="W449" s="1"/>
  <c r="U444"/>
  <c r="W444" s="1"/>
  <c r="U441"/>
  <c r="W441" s="1"/>
  <c r="U421"/>
  <c r="W421" s="1"/>
  <c r="U412"/>
  <c r="W412" s="1"/>
  <c r="U406"/>
  <c r="X406" s="1"/>
  <c r="U373"/>
  <c r="W373" s="1"/>
  <c r="U367"/>
  <c r="X367" s="1"/>
  <c r="U363"/>
  <c r="X363" s="1"/>
  <c r="U361"/>
  <c r="W361" s="1"/>
  <c r="U351"/>
  <c r="W351" s="1"/>
  <c r="U346"/>
  <c r="X346" s="1"/>
  <c r="U341"/>
  <c r="W341" s="1"/>
  <c r="U338"/>
  <c r="X338" s="1"/>
  <c r="U333"/>
  <c r="W333" s="1"/>
  <c r="U325"/>
  <c r="W325" s="1"/>
  <c r="U320"/>
  <c r="W320" s="1"/>
  <c r="U314"/>
  <c r="X314" s="1"/>
  <c r="U307"/>
  <c r="X307" s="1"/>
  <c r="U296"/>
  <c r="W296" s="1"/>
  <c r="U287"/>
  <c r="W287" s="1"/>
  <c r="U270"/>
  <c r="X270" s="1"/>
  <c r="U266"/>
  <c r="X266" s="1"/>
  <c r="U264"/>
  <c r="W264" s="1"/>
  <c r="U257"/>
  <c r="W257" s="1"/>
  <c r="U253"/>
  <c r="W253" s="1"/>
  <c r="U243"/>
  <c r="W243" s="1"/>
  <c r="U231"/>
  <c r="W231" s="1"/>
  <c r="U217"/>
  <c r="W217" s="1"/>
  <c r="U476"/>
  <c r="W476" s="1"/>
  <c r="U448"/>
  <c r="W448" s="1"/>
  <c r="U443"/>
  <c r="X443" s="1"/>
  <c r="U440"/>
  <c r="W440" s="1"/>
  <c r="U420"/>
  <c r="W420" s="1"/>
  <c r="U411"/>
  <c r="X411" s="1"/>
  <c r="U405"/>
  <c r="W405" s="1"/>
  <c r="U372"/>
  <c r="W372" s="1"/>
  <c r="U360"/>
  <c r="W360" s="1"/>
  <c r="U350"/>
  <c r="X350" s="1"/>
  <c r="U345"/>
  <c r="W345" s="1"/>
  <c r="U337"/>
  <c r="W337" s="1"/>
  <c r="U332"/>
  <c r="W332" s="1"/>
  <c r="U324"/>
  <c r="W324" s="1"/>
  <c r="U319"/>
  <c r="X319" s="1"/>
  <c r="U313"/>
  <c r="W313" s="1"/>
  <c r="U306"/>
  <c r="X306" s="1"/>
  <c r="U295"/>
  <c r="X295" s="1"/>
  <c r="U286"/>
  <c r="X286" s="1"/>
  <c r="U269"/>
  <c r="W269" s="1"/>
  <c r="U252"/>
  <c r="W252" s="1"/>
  <c r="U242"/>
  <c r="X242" s="1"/>
  <c r="U230"/>
  <c r="X230" s="1"/>
  <c r="U216"/>
  <c r="W216" s="1"/>
  <c r="U207"/>
  <c r="W207" s="1"/>
  <c r="U167"/>
  <c r="W167" s="1"/>
  <c r="U161"/>
  <c r="W161" s="1"/>
  <c r="U159"/>
  <c r="W159" s="1"/>
  <c r="U153"/>
  <c r="W153" s="1"/>
  <c r="U133"/>
  <c r="X133" s="1"/>
  <c r="U131"/>
  <c r="X131" s="1"/>
  <c r="U127"/>
  <c r="X127" s="1"/>
  <c r="U125"/>
  <c r="X125" s="1"/>
  <c r="U123"/>
  <c r="X123" s="1"/>
  <c r="U475"/>
  <c r="X475" s="1"/>
  <c r="U474"/>
  <c r="X474" s="1"/>
  <c r="U438"/>
  <c r="X438" s="1"/>
  <c r="U410"/>
  <c r="X410" s="1"/>
  <c r="U409"/>
  <c r="W409" s="1"/>
  <c r="U403"/>
  <c r="X403" s="1"/>
  <c r="U370"/>
  <c r="W370" s="1"/>
  <c r="U358"/>
  <c r="X358" s="1"/>
  <c r="U336"/>
  <c r="W336" s="1"/>
  <c r="U331"/>
  <c r="X331" s="1"/>
  <c r="U330"/>
  <c r="X330" s="1"/>
  <c r="U322"/>
  <c r="X322" s="1"/>
  <c r="U317"/>
  <c r="W317" s="1"/>
  <c r="U311"/>
  <c r="X311" s="1"/>
  <c r="U304"/>
  <c r="W304" s="1"/>
  <c r="U285"/>
  <c r="W285" s="1"/>
  <c r="U284"/>
  <c r="W284" s="1"/>
  <c r="U250"/>
  <c r="X250" s="1"/>
  <c r="U240"/>
  <c r="W240" s="1"/>
  <c r="U228"/>
  <c r="W228" s="1"/>
  <c r="U215"/>
  <c r="W215" s="1"/>
  <c r="U214"/>
  <c r="X214" s="1"/>
  <c r="U196"/>
  <c r="W196" s="1"/>
  <c r="U166"/>
  <c r="X166" s="1"/>
  <c r="U152"/>
  <c r="W152" s="1"/>
  <c r="U151"/>
  <c r="X151" s="1"/>
  <c r="U142"/>
  <c r="W142" s="1"/>
  <c r="U141"/>
  <c r="X141" s="1"/>
  <c r="U137"/>
  <c r="W137" s="1"/>
  <c r="U111"/>
  <c r="X111" s="1"/>
  <c r="U110"/>
  <c r="W110" s="1"/>
  <c r="U102"/>
  <c r="W102" s="1"/>
  <c r="U99"/>
  <c r="X99" s="1"/>
  <c r="U98"/>
  <c r="W98" s="1"/>
  <c r="U94"/>
  <c r="W94" s="1"/>
  <c r="U93"/>
  <c r="X93" s="1"/>
  <c r="U86"/>
  <c r="W86" s="1"/>
  <c r="U85"/>
  <c r="W85" s="1"/>
  <c r="U80"/>
  <c r="W80" s="1"/>
  <c r="U79"/>
  <c r="X79" s="1"/>
  <c r="U37"/>
  <c r="W37" s="1"/>
  <c r="U34"/>
  <c r="W34" s="1"/>
  <c r="U31"/>
  <c r="X31" s="1"/>
  <c r="U21"/>
  <c r="W21" s="1"/>
  <c r="U112"/>
  <c r="W112" s="1"/>
  <c r="U7"/>
  <c r="X7" s="1"/>
  <c r="U473"/>
  <c r="W473" s="1"/>
  <c r="U472"/>
  <c r="W472" s="1"/>
  <c r="U466"/>
  <c r="X466" s="1"/>
  <c r="U453"/>
  <c r="W453" s="1"/>
  <c r="U447"/>
  <c r="W447" s="1"/>
  <c r="U439"/>
  <c r="W439" s="1"/>
  <c r="U437"/>
  <c r="W437" s="1"/>
  <c r="U436"/>
  <c r="W436" s="1"/>
  <c r="U435"/>
  <c r="X435" s="1"/>
  <c r="U434"/>
  <c r="X434" s="1"/>
  <c r="U433"/>
  <c r="W433" s="1"/>
  <c r="U432"/>
  <c r="W432" s="1"/>
  <c r="U431"/>
  <c r="W431" s="1"/>
  <c r="U430"/>
  <c r="X430" s="1"/>
  <c r="U408"/>
  <c r="W408" s="1"/>
  <c r="U404"/>
  <c r="W404" s="1"/>
  <c r="U402"/>
  <c r="X402" s="1"/>
  <c r="U401"/>
  <c r="W401" s="1"/>
  <c r="U400"/>
  <c r="W400" s="1"/>
  <c r="U399"/>
  <c r="X399" s="1"/>
  <c r="U398"/>
  <c r="X398" s="1"/>
  <c r="U397"/>
  <c r="W397" s="1"/>
  <c r="U396"/>
  <c r="W396" s="1"/>
  <c r="U395"/>
  <c r="X395" s="1"/>
  <c r="U394"/>
  <c r="X394" s="1"/>
  <c r="U393"/>
  <c r="W393" s="1"/>
  <c r="U392"/>
  <c r="W392" s="1"/>
  <c r="U391"/>
  <c r="X391" s="1"/>
  <c r="U390"/>
  <c r="X390" s="1"/>
  <c r="U389"/>
  <c r="W389" s="1"/>
  <c r="U388"/>
  <c r="W388" s="1"/>
  <c r="U387"/>
  <c r="X387" s="1"/>
  <c r="U386"/>
  <c r="X386" s="1"/>
  <c r="U385"/>
  <c r="W385" s="1"/>
  <c r="U384"/>
  <c r="W384" s="1"/>
  <c r="U383"/>
  <c r="W383" s="1"/>
  <c r="U382"/>
  <c r="W382" s="1"/>
  <c r="U381"/>
  <c r="W381" s="1"/>
  <c r="U380"/>
  <c r="W380" s="1"/>
  <c r="U379"/>
  <c r="W379" s="1"/>
  <c r="U378"/>
  <c r="W378" s="1"/>
  <c r="U377"/>
  <c r="W377" s="1"/>
  <c r="U376"/>
  <c r="W376" s="1"/>
  <c r="U375"/>
  <c r="W375" s="1"/>
  <c r="U371"/>
  <c r="W371" s="1"/>
  <c r="U359"/>
  <c r="X359" s="1"/>
  <c r="U357"/>
  <c r="W357" s="1"/>
  <c r="U356"/>
  <c r="W356" s="1"/>
  <c r="U355"/>
  <c r="W355" s="1"/>
  <c r="U354"/>
  <c r="X354" s="1"/>
  <c r="U329"/>
  <c r="W329" s="1"/>
  <c r="U328"/>
  <c r="W328" s="1"/>
  <c r="U327"/>
  <c r="X327" s="1"/>
  <c r="U323"/>
  <c r="X323" s="1"/>
  <c r="U318"/>
  <c r="X318" s="1"/>
  <c r="U316"/>
  <c r="W316" s="1"/>
  <c r="U312"/>
  <c r="W312" s="1"/>
  <c r="U310"/>
  <c r="X310" s="1"/>
  <c r="U309"/>
  <c r="W309" s="1"/>
  <c r="U305"/>
  <c r="W305" s="1"/>
  <c r="U303"/>
  <c r="X303" s="1"/>
  <c r="U301"/>
  <c r="W301" s="1"/>
  <c r="U300"/>
  <c r="W300" s="1"/>
  <c r="U299"/>
  <c r="X299" s="1"/>
  <c r="U298"/>
  <c r="X298" s="1"/>
  <c r="U283"/>
  <c r="W283" s="1"/>
  <c r="U263"/>
  <c r="W263" s="1"/>
  <c r="U262"/>
  <c r="X262" s="1"/>
  <c r="U261"/>
  <c r="W261" s="1"/>
  <c r="U260"/>
  <c r="W260" s="1"/>
  <c r="U259"/>
  <c r="W259" s="1"/>
  <c r="U251"/>
  <c r="W251" s="1"/>
  <c r="U249"/>
  <c r="W249" s="1"/>
  <c r="U248"/>
  <c r="W248" s="1"/>
  <c r="U247"/>
  <c r="W247" s="1"/>
  <c r="U246"/>
  <c r="X246" s="1"/>
  <c r="U245"/>
  <c r="W245" s="1"/>
  <c r="U241"/>
  <c r="W241" s="1"/>
  <c r="U239"/>
  <c r="W239" s="1"/>
  <c r="U238"/>
  <c r="X238" s="1"/>
  <c r="U237"/>
  <c r="W237" s="1"/>
  <c r="U236"/>
  <c r="W236" s="1"/>
  <c r="U235"/>
  <c r="W235" s="1"/>
  <c r="U234"/>
  <c r="X234" s="1"/>
  <c r="U233"/>
  <c r="W233" s="1"/>
  <c r="U229"/>
  <c r="W229" s="1"/>
  <c r="U227"/>
  <c r="W227" s="1"/>
  <c r="U226"/>
  <c r="X226" s="1"/>
  <c r="U225"/>
  <c r="W225" s="1"/>
  <c r="U224"/>
  <c r="W224" s="1"/>
  <c r="U223"/>
  <c r="W223" s="1"/>
  <c r="U222"/>
  <c r="X222" s="1"/>
  <c r="U221"/>
  <c r="W221" s="1"/>
  <c r="U213"/>
  <c r="W213" s="1"/>
  <c r="U212"/>
  <c r="W212" s="1"/>
  <c r="U195"/>
  <c r="W195" s="1"/>
  <c r="U194"/>
  <c r="X194" s="1"/>
  <c r="U193"/>
  <c r="W193" s="1"/>
  <c r="U192"/>
  <c r="W192" s="1"/>
  <c r="U191"/>
  <c r="W191" s="1"/>
  <c r="U190"/>
  <c r="X190" s="1"/>
  <c r="U189"/>
  <c r="W189" s="1"/>
  <c r="U188"/>
  <c r="W188" s="1"/>
  <c r="U187"/>
  <c r="W187" s="1"/>
  <c r="U186"/>
  <c r="X186" s="1"/>
  <c r="U185"/>
  <c r="W185" s="1"/>
  <c r="U184"/>
  <c r="W184" s="1"/>
  <c r="U183"/>
  <c r="W183" s="1"/>
  <c r="U182"/>
  <c r="X182" s="1"/>
  <c r="U181"/>
  <c r="W181" s="1"/>
  <c r="U180"/>
  <c r="W180" s="1"/>
  <c r="U179"/>
  <c r="W179" s="1"/>
  <c r="U178"/>
  <c r="X178" s="1"/>
  <c r="U177"/>
  <c r="W177" s="1"/>
  <c r="U176"/>
  <c r="W176" s="1"/>
  <c r="U175"/>
  <c r="W175" s="1"/>
  <c r="U174"/>
  <c r="X174" s="1"/>
  <c r="U173"/>
  <c r="W173" s="1"/>
  <c r="U146"/>
  <c r="W146" s="1"/>
  <c r="U130"/>
  <c r="W130" s="1"/>
  <c r="U109"/>
  <c r="W109" s="1"/>
  <c r="U108"/>
  <c r="W108" s="1"/>
  <c r="U107"/>
  <c r="X107" s="1"/>
  <c r="U106"/>
  <c r="W106" s="1"/>
  <c r="U105"/>
  <c r="W105" s="1"/>
  <c r="U97"/>
  <c r="W97" s="1"/>
  <c r="U92"/>
  <c r="W92" s="1"/>
  <c r="U91"/>
  <c r="X91" s="1"/>
  <c r="U90"/>
  <c r="W90" s="1"/>
  <c r="U84"/>
  <c r="W84" s="1"/>
  <c r="U83"/>
  <c r="X83" s="1"/>
  <c r="U78"/>
  <c r="W78" s="1"/>
  <c r="U77"/>
  <c r="X77" s="1"/>
  <c r="U76"/>
  <c r="W76" s="1"/>
  <c r="U75"/>
  <c r="X75" s="1"/>
  <c r="U74"/>
  <c r="W74" s="1"/>
  <c r="U73"/>
  <c r="X73" s="1"/>
  <c r="U72"/>
  <c r="W72" s="1"/>
  <c r="U71"/>
  <c r="X71" s="1"/>
  <c r="U70"/>
  <c r="W70" s="1"/>
  <c r="U69"/>
  <c r="W69" s="1"/>
  <c r="U68"/>
  <c r="W68" s="1"/>
  <c r="U67"/>
  <c r="X67" s="1"/>
  <c r="U66"/>
  <c r="W66" s="1"/>
  <c r="U65"/>
  <c r="W65" s="1"/>
  <c r="U64"/>
  <c r="W64" s="1"/>
  <c r="U63"/>
  <c r="X63" s="1"/>
  <c r="U62"/>
  <c r="W62" s="1"/>
  <c r="U61"/>
  <c r="X61" s="1"/>
  <c r="U60"/>
  <c r="W60" s="1"/>
  <c r="U59"/>
  <c r="X59" s="1"/>
  <c r="U58"/>
  <c r="W58" s="1"/>
  <c r="U57"/>
  <c r="W57" s="1"/>
  <c r="U56"/>
  <c r="W56" s="1"/>
  <c r="U55"/>
  <c r="X55" s="1"/>
  <c r="U54"/>
  <c r="W54" s="1"/>
  <c r="U53"/>
  <c r="W53" s="1"/>
  <c r="U52"/>
  <c r="X52" s="1"/>
  <c r="U51"/>
  <c r="X51" s="1"/>
  <c r="U50"/>
  <c r="W50" s="1"/>
  <c r="U49"/>
  <c r="W49" s="1"/>
  <c r="U48"/>
  <c r="X48" s="1"/>
  <c r="U47"/>
  <c r="X47" s="1"/>
  <c r="U46"/>
  <c r="W46" s="1"/>
  <c r="U45"/>
  <c r="W45" s="1"/>
  <c r="U44"/>
  <c r="X44" s="1"/>
  <c r="U43"/>
  <c r="X43" s="1"/>
  <c r="U42"/>
  <c r="W42" s="1"/>
  <c r="U41"/>
  <c r="W41" s="1"/>
  <c r="U32"/>
  <c r="X32" s="1"/>
  <c r="U30"/>
  <c r="W30" s="1"/>
  <c r="U29"/>
  <c r="W29" s="1"/>
  <c r="U28"/>
  <c r="X28" s="1"/>
  <c r="U27"/>
  <c r="X27" s="1"/>
  <c r="U26"/>
  <c r="W26" s="1"/>
  <c r="U25"/>
  <c r="W25" s="1"/>
  <c r="U24"/>
  <c r="X24" s="1"/>
  <c r="U23"/>
  <c r="X23" s="1"/>
  <c r="U20"/>
  <c r="X20" s="1"/>
  <c r="U19"/>
  <c r="X19" s="1"/>
  <c r="U18"/>
  <c r="W18" s="1"/>
  <c r="U17"/>
  <c r="W17" s="1"/>
  <c r="U16"/>
  <c r="W16" s="1"/>
  <c r="U15"/>
  <c r="X15" s="1"/>
  <c r="U14"/>
  <c r="W14" s="1"/>
  <c r="U13"/>
  <c r="W13" s="1"/>
  <c r="U12"/>
  <c r="W12" s="1"/>
  <c r="U11"/>
  <c r="X11" s="1"/>
  <c r="U10"/>
  <c r="W10" s="1"/>
  <c r="U6"/>
  <c r="W6" s="1"/>
  <c r="U5"/>
  <c r="W5" s="1"/>
  <c r="W483" l="1"/>
  <c r="U486"/>
  <c r="X486" s="1"/>
  <c r="W485"/>
  <c r="W484"/>
  <c r="W482"/>
  <c r="W481"/>
  <c r="X479"/>
  <c r="W480"/>
  <c r="X347"/>
  <c r="W443"/>
  <c r="W323"/>
  <c r="X211"/>
  <c r="W451"/>
  <c r="W299"/>
  <c r="W423"/>
  <c r="W471"/>
  <c r="W129"/>
  <c r="X263"/>
  <c r="W407"/>
  <c r="W463"/>
  <c r="X113"/>
  <c r="X167"/>
  <c r="X251"/>
  <c r="W307"/>
  <c r="X355"/>
  <c r="W399"/>
  <c r="W427"/>
  <c r="X383"/>
  <c r="W20"/>
  <c r="X180"/>
  <c r="X187"/>
  <c r="W295"/>
  <c r="W331"/>
  <c r="X380"/>
  <c r="W415"/>
  <c r="W36"/>
  <c r="X90"/>
  <c r="W93"/>
  <c r="X175"/>
  <c r="X227"/>
  <c r="X267"/>
  <c r="W315"/>
  <c r="W367"/>
  <c r="W391"/>
  <c r="W435"/>
  <c r="W459"/>
  <c r="W475"/>
  <c r="W40"/>
  <c r="X97"/>
  <c r="X231"/>
  <c r="X339"/>
  <c r="X109"/>
  <c r="X137"/>
  <c r="W171"/>
  <c r="X203"/>
  <c r="X247"/>
  <c r="X279"/>
  <c r="W343"/>
  <c r="W387"/>
  <c r="W467"/>
  <c r="X25"/>
  <c r="W28"/>
  <c r="W44"/>
  <c r="X78"/>
  <c r="W81"/>
  <c r="W133"/>
  <c r="X176"/>
  <c r="X191"/>
  <c r="X219"/>
  <c r="X235"/>
  <c r="X255"/>
  <c r="X271"/>
  <c r="W291"/>
  <c r="W311"/>
  <c r="W319"/>
  <c r="W327"/>
  <c r="W335"/>
  <c r="X351"/>
  <c r="W363"/>
  <c r="X371"/>
  <c r="W395"/>
  <c r="W403"/>
  <c r="W411"/>
  <c r="W419"/>
  <c r="X283"/>
  <c r="W359"/>
  <c r="X431"/>
  <c r="X439"/>
  <c r="X447"/>
  <c r="W32"/>
  <c r="W48"/>
  <c r="X106"/>
  <c r="X122"/>
  <c r="W125"/>
  <c r="W182"/>
  <c r="X195"/>
  <c r="X223"/>
  <c r="X243"/>
  <c r="X259"/>
  <c r="X275"/>
  <c r="W303"/>
  <c r="W455"/>
  <c r="X199"/>
  <c r="X215"/>
  <c r="X207"/>
  <c r="X239"/>
  <c r="X287"/>
  <c r="X16"/>
  <c r="X29"/>
  <c r="X33"/>
  <c r="X37"/>
  <c r="X41"/>
  <c r="X45"/>
  <c r="X49"/>
  <c r="W52"/>
  <c r="W61"/>
  <c r="X85"/>
  <c r="X94"/>
  <c r="X101"/>
  <c r="X110"/>
  <c r="X117"/>
  <c r="X126"/>
  <c r="X130"/>
  <c r="X134"/>
  <c r="X138"/>
  <c r="W141"/>
  <c r="X159"/>
  <c r="W162"/>
  <c r="X168"/>
  <c r="X172"/>
  <c r="W178"/>
  <c r="X183"/>
  <c r="X288"/>
  <c r="X292"/>
  <c r="X296"/>
  <c r="X300"/>
  <c r="X304"/>
  <c r="X308"/>
  <c r="X312"/>
  <c r="X316"/>
  <c r="X320"/>
  <c r="X324"/>
  <c r="X328"/>
  <c r="X332"/>
  <c r="X336"/>
  <c r="X340"/>
  <c r="X344"/>
  <c r="X348"/>
  <c r="X352"/>
  <c r="X356"/>
  <c r="X360"/>
  <c r="X364"/>
  <c r="X368"/>
  <c r="X375"/>
  <c r="X384"/>
  <c r="X388"/>
  <c r="X392"/>
  <c r="X396"/>
  <c r="X400"/>
  <c r="X404"/>
  <c r="X408"/>
  <c r="X412"/>
  <c r="X416"/>
  <c r="X420"/>
  <c r="X424"/>
  <c r="X428"/>
  <c r="X432"/>
  <c r="X436"/>
  <c r="X440"/>
  <c r="X444"/>
  <c r="X448"/>
  <c r="X452"/>
  <c r="X456"/>
  <c r="X460"/>
  <c r="X464"/>
  <c r="X468"/>
  <c r="X472"/>
  <c r="X21"/>
  <c r="W24"/>
  <c r="X53"/>
  <c r="W77"/>
  <c r="X82"/>
  <c r="X89"/>
  <c r="X98"/>
  <c r="X105"/>
  <c r="X114"/>
  <c r="X121"/>
  <c r="W128"/>
  <c r="W132"/>
  <c r="W136"/>
  <c r="X163"/>
  <c r="W166"/>
  <c r="W170"/>
  <c r="W174"/>
  <c r="X179"/>
  <c r="X184"/>
  <c r="X188"/>
  <c r="X192"/>
  <c r="X196"/>
  <c r="X200"/>
  <c r="X204"/>
  <c r="X208"/>
  <c r="X212"/>
  <c r="X216"/>
  <c r="X220"/>
  <c r="X224"/>
  <c r="X228"/>
  <c r="X232"/>
  <c r="X236"/>
  <c r="X240"/>
  <c r="X244"/>
  <c r="X248"/>
  <c r="X252"/>
  <c r="X256"/>
  <c r="X260"/>
  <c r="X264"/>
  <c r="X268"/>
  <c r="X272"/>
  <c r="X276"/>
  <c r="X280"/>
  <c r="X284"/>
  <c r="W290"/>
  <c r="W294"/>
  <c r="W298"/>
  <c r="W302"/>
  <c r="W306"/>
  <c r="W310"/>
  <c r="W314"/>
  <c r="W318"/>
  <c r="W322"/>
  <c r="W326"/>
  <c r="W330"/>
  <c r="W334"/>
  <c r="W338"/>
  <c r="W342"/>
  <c r="W346"/>
  <c r="W350"/>
  <c r="W354"/>
  <c r="W358"/>
  <c r="W362"/>
  <c r="W366"/>
  <c r="X372"/>
  <c r="X379"/>
  <c r="W386"/>
  <c r="W390"/>
  <c r="W394"/>
  <c r="W398"/>
  <c r="W402"/>
  <c r="W406"/>
  <c r="W410"/>
  <c r="W414"/>
  <c r="W418"/>
  <c r="W422"/>
  <c r="W426"/>
  <c r="W430"/>
  <c r="W434"/>
  <c r="W438"/>
  <c r="W442"/>
  <c r="W446"/>
  <c r="W450"/>
  <c r="W454"/>
  <c r="W458"/>
  <c r="W462"/>
  <c r="W466"/>
  <c r="W470"/>
  <c r="W474"/>
  <c r="X30"/>
  <c r="X34"/>
  <c r="X38"/>
  <c r="X42"/>
  <c r="X46"/>
  <c r="X62"/>
  <c r="W73"/>
  <c r="X86"/>
  <c r="X102"/>
  <c r="X118"/>
  <c r="W158"/>
  <c r="W186"/>
  <c r="W190"/>
  <c r="W194"/>
  <c r="W198"/>
  <c r="W202"/>
  <c r="W206"/>
  <c r="W210"/>
  <c r="W214"/>
  <c r="W218"/>
  <c r="W222"/>
  <c r="W226"/>
  <c r="W230"/>
  <c r="W234"/>
  <c r="W238"/>
  <c r="W242"/>
  <c r="W246"/>
  <c r="W250"/>
  <c r="W254"/>
  <c r="W258"/>
  <c r="W262"/>
  <c r="W266"/>
  <c r="W270"/>
  <c r="W274"/>
  <c r="W278"/>
  <c r="W282"/>
  <c r="W286"/>
  <c r="X376"/>
  <c r="W478"/>
  <c r="W3"/>
  <c r="X4"/>
  <c r="W7"/>
  <c r="X8"/>
  <c r="W11"/>
  <c r="X12"/>
  <c r="W15"/>
  <c r="W19"/>
  <c r="W23"/>
  <c r="W27"/>
  <c r="W31"/>
  <c r="W35"/>
  <c r="W39"/>
  <c r="W43"/>
  <c r="W47"/>
  <c r="W51"/>
  <c r="W55"/>
  <c r="X56"/>
  <c r="W59"/>
  <c r="X60"/>
  <c r="W63"/>
  <c r="X64"/>
  <c r="W67"/>
  <c r="X68"/>
  <c r="W71"/>
  <c r="X72"/>
  <c r="W75"/>
  <c r="X76"/>
  <c r="W79"/>
  <c r="X80"/>
  <c r="W83"/>
  <c r="X84"/>
  <c r="W87"/>
  <c r="X88"/>
  <c r="W91"/>
  <c r="X92"/>
  <c r="W95"/>
  <c r="X96"/>
  <c r="W99"/>
  <c r="X100"/>
  <c r="W103"/>
  <c r="X104"/>
  <c r="W107"/>
  <c r="X108"/>
  <c r="W111"/>
  <c r="X112"/>
  <c r="W115"/>
  <c r="X116"/>
  <c r="W119"/>
  <c r="X120"/>
  <c r="W123"/>
  <c r="X124"/>
  <c r="W127"/>
  <c r="W131"/>
  <c r="W135"/>
  <c r="W139"/>
  <c r="X140"/>
  <c r="W143"/>
  <c r="X144"/>
  <c r="W147"/>
  <c r="X148"/>
  <c r="W151"/>
  <c r="X152"/>
  <c r="W155"/>
  <c r="X156"/>
  <c r="X160"/>
  <c r="X164"/>
  <c r="X476"/>
  <c r="X5"/>
  <c r="X9"/>
  <c r="X13"/>
  <c r="X17"/>
  <c r="X57"/>
  <c r="X65"/>
  <c r="X69"/>
  <c r="X145"/>
  <c r="X149"/>
  <c r="X153"/>
  <c r="X157"/>
  <c r="X161"/>
  <c r="X165"/>
  <c r="X169"/>
  <c r="X173"/>
  <c r="X177"/>
  <c r="X181"/>
  <c r="X185"/>
  <c r="X189"/>
  <c r="X193"/>
  <c r="X197"/>
  <c r="X201"/>
  <c r="X205"/>
  <c r="X209"/>
  <c r="X213"/>
  <c r="X217"/>
  <c r="X221"/>
  <c r="X225"/>
  <c r="X229"/>
  <c r="X233"/>
  <c r="X237"/>
  <c r="X241"/>
  <c r="X245"/>
  <c r="X249"/>
  <c r="X253"/>
  <c r="X257"/>
  <c r="X261"/>
  <c r="X265"/>
  <c r="X269"/>
  <c r="X273"/>
  <c r="X277"/>
  <c r="X281"/>
  <c r="X285"/>
  <c r="X289"/>
  <c r="X293"/>
  <c r="X297"/>
  <c r="X301"/>
  <c r="X305"/>
  <c r="X309"/>
  <c r="X313"/>
  <c r="X317"/>
  <c r="X321"/>
  <c r="X325"/>
  <c r="X329"/>
  <c r="X333"/>
  <c r="X337"/>
  <c r="X341"/>
  <c r="X345"/>
  <c r="X349"/>
  <c r="X353"/>
  <c r="X357"/>
  <c r="X361"/>
  <c r="X365"/>
  <c r="X369"/>
  <c r="X373"/>
  <c r="X377"/>
  <c r="X381"/>
  <c r="X385"/>
  <c r="X389"/>
  <c r="X393"/>
  <c r="X397"/>
  <c r="X401"/>
  <c r="X405"/>
  <c r="X409"/>
  <c r="X413"/>
  <c r="X417"/>
  <c r="X421"/>
  <c r="X425"/>
  <c r="X429"/>
  <c r="X433"/>
  <c r="X437"/>
  <c r="X441"/>
  <c r="X445"/>
  <c r="X449"/>
  <c r="X453"/>
  <c r="X457"/>
  <c r="X461"/>
  <c r="X465"/>
  <c r="X469"/>
  <c r="X473"/>
  <c r="X477"/>
  <c r="X2"/>
  <c r="X6"/>
  <c r="X10"/>
  <c r="X14"/>
  <c r="X18"/>
  <c r="X22"/>
  <c r="X26"/>
  <c r="X50"/>
  <c r="X54"/>
  <c r="X58"/>
  <c r="X66"/>
  <c r="X70"/>
  <c r="X74"/>
  <c r="X142"/>
  <c r="X146"/>
  <c r="X150"/>
  <c r="X154"/>
  <c r="X370"/>
  <c r="X374"/>
  <c r="X378"/>
  <c r="X382"/>
  <c r="W486" l="1"/>
</calcChain>
</file>

<file path=xl/sharedStrings.xml><?xml version="1.0" encoding="utf-8"?>
<sst xmlns="http://schemas.openxmlformats.org/spreadsheetml/2006/main" count="4752" uniqueCount="1420">
  <si>
    <t>BILLMONTH</t>
  </si>
  <si>
    <t>BATCHNO</t>
  </si>
  <si>
    <t>SDIVCODE</t>
  </si>
  <si>
    <t>CONSNO</t>
  </si>
  <si>
    <t>NAME</t>
  </si>
  <si>
    <t>ADDR1</t>
  </si>
  <si>
    <t>ADDR2</t>
  </si>
  <si>
    <t>TARIFFCODE</t>
  </si>
  <si>
    <t>SAN_LOAD</t>
  </si>
  <si>
    <t>OP_BAL</t>
  </si>
  <si>
    <t>ASSESSMENT_AMNT</t>
  </si>
  <si>
    <t>PAYMENT_NOR</t>
  </si>
  <si>
    <t>ADJUSTOR</t>
  </si>
  <si>
    <t>SURLEVIED</t>
  </si>
  <si>
    <t>TOTAL_CL_BAL</t>
  </si>
  <si>
    <t>DEPT_CODE</t>
  </si>
  <si>
    <t>STATUS</t>
  </si>
  <si>
    <t>STD_CLSF_CD</t>
  </si>
  <si>
    <t>19</t>
  </si>
  <si>
    <t>48112</t>
  </si>
  <si>
    <t>0297800</t>
  </si>
  <si>
    <t xml:space="preserve">PROJECT DIRECTOR              </t>
  </si>
  <si>
    <t xml:space="preserve">QMC BULDIA                    </t>
  </si>
  <si>
    <t xml:space="preserve">QUETTA.                       </t>
  </si>
  <si>
    <t>66</t>
  </si>
  <si>
    <t>53011</t>
  </si>
  <si>
    <t>PDISC</t>
  </si>
  <si>
    <t xml:space="preserve">1713 </t>
  </si>
  <si>
    <t>0734800</t>
  </si>
  <si>
    <t xml:space="preserve">MUNCIPAL HALL                 </t>
  </si>
  <si>
    <t xml:space="preserve">MASJID ROAD QUETTA            </t>
  </si>
  <si>
    <t>0735802</t>
  </si>
  <si>
    <t xml:space="preserve">MASJID TOOBA  Q.M.C           </t>
  </si>
  <si>
    <t xml:space="preserve">MASJID ROAD QTA               </t>
  </si>
  <si>
    <t xml:space="preserve">QTA                           </t>
  </si>
  <si>
    <t>RUNN</t>
  </si>
  <si>
    <t xml:space="preserve">0102 </t>
  </si>
  <si>
    <t>1017501</t>
  </si>
  <si>
    <t xml:space="preserve">PROJECT DIRECTOR C&amp;W DIVISION </t>
  </si>
  <si>
    <t xml:space="preserve">FAIR PARGADE ZARGHOON ROAD    </t>
  </si>
  <si>
    <t>1640801</t>
  </si>
  <si>
    <t xml:space="preserve">METROPOLITION                 </t>
  </si>
  <si>
    <t xml:space="preserve">MT WARK SHOP QUARRY ROAD      </t>
  </si>
  <si>
    <t xml:space="preserve">QUETTA                        </t>
  </si>
  <si>
    <t xml:space="preserve">0000 </t>
  </si>
  <si>
    <t>1690300</t>
  </si>
  <si>
    <t xml:space="preserve">Q.M.C WORK SHOP               </t>
  </si>
  <si>
    <t xml:space="preserve">QUARRY ROAD QTA               </t>
  </si>
  <si>
    <t xml:space="preserve">5902 </t>
  </si>
  <si>
    <t>24</t>
  </si>
  <si>
    <t>1473902</t>
  </si>
  <si>
    <t xml:space="preserve">PROJECT DIVISION              </t>
  </si>
  <si>
    <t xml:space="preserve">C&amp;W DEPARTMENT                </t>
  </si>
  <si>
    <t xml:space="preserve">COLOVION ROAD QUETTA          </t>
  </si>
  <si>
    <t>72</t>
  </si>
  <si>
    <t xml:space="preserve">6700 </t>
  </si>
  <si>
    <t>26</t>
  </si>
  <si>
    <t>0012143</t>
  </si>
  <si>
    <t xml:space="preserve">Q.M.C TRAFFIC SIGNAL          </t>
  </si>
  <si>
    <t xml:space="preserve">CHOWK SECINCE COLLEGE QUETTA  </t>
  </si>
  <si>
    <t>04</t>
  </si>
  <si>
    <t>27</t>
  </si>
  <si>
    <t>0009701</t>
  </si>
  <si>
    <t xml:space="preserve">EXETIVE ENGINEER              </t>
  </si>
  <si>
    <t xml:space="preserve">QMC STREET LIGHT              </t>
  </si>
  <si>
    <t xml:space="preserve">SURAJ GUNG BAZAR QUETTA.      </t>
  </si>
  <si>
    <t xml:space="preserve">6701 </t>
  </si>
  <si>
    <t>0275001</t>
  </si>
  <si>
    <t xml:space="preserve">XEN PROJECT NO.1              </t>
  </si>
  <si>
    <t xml:space="preserve">QANDHARI BAZAR                </t>
  </si>
  <si>
    <t>0668101</t>
  </si>
  <si>
    <t xml:space="preserve">MASJID ROAD                   </t>
  </si>
  <si>
    <t>0923001</t>
  </si>
  <si>
    <t xml:space="preserve">Q.M.C STREET LIGHT            </t>
  </si>
  <si>
    <t xml:space="preserve">MASJIED ROAD QTA              </t>
  </si>
  <si>
    <t>1035801</t>
  </si>
  <si>
    <t xml:space="preserve">KILLI SIRKI KALAWN            </t>
  </si>
  <si>
    <t>1182301</t>
  </si>
  <si>
    <t xml:space="preserve">JAN MUHAMMAD ROAD             </t>
  </si>
  <si>
    <t>1263800</t>
  </si>
  <si>
    <t xml:space="preserve">MUNCIPAL ENGINEER             </t>
  </si>
  <si>
    <t xml:space="preserve">AL-GILANI ROAD QUETTA         </t>
  </si>
  <si>
    <t>1312401</t>
  </si>
  <si>
    <t xml:space="preserve">NAZIM ZARGHOON TOWN           </t>
  </si>
  <si>
    <t>1613101</t>
  </si>
  <si>
    <t xml:space="preserve">QMC LIGHT                     </t>
  </si>
  <si>
    <t xml:space="preserve">FAQIR MUHAMMAD ROAD           </t>
  </si>
  <si>
    <t>1650400</t>
  </si>
  <si>
    <t xml:space="preserve">Q.M.C  WORK SHOP              </t>
  </si>
  <si>
    <t xml:space="preserve">GARAJ QUARRY ROAD QTA         </t>
  </si>
  <si>
    <t>05902</t>
  </si>
  <si>
    <t>48113</t>
  </si>
  <si>
    <t>0295100</t>
  </si>
  <si>
    <t xml:space="preserve">M.T WORK SHOP                 </t>
  </si>
  <si>
    <t xml:space="preserve">CHILTAN TOWN KALAT ROAD       </t>
  </si>
  <si>
    <t xml:space="preserve">S. TOWN QTA.                  </t>
  </si>
  <si>
    <t>0625300</t>
  </si>
  <si>
    <t xml:space="preserve">POLICE TRAFFIC  BOTH          </t>
  </si>
  <si>
    <t xml:space="preserve">NEW ADDA S.TOWN               </t>
  </si>
  <si>
    <t>0837200</t>
  </si>
  <si>
    <t xml:space="preserve">ANJUM RAFAI AAMA              </t>
  </si>
  <si>
    <t xml:space="preserve">SAQAFTI MARKAZ B.NO.4 S.TOWN  </t>
  </si>
  <si>
    <t>0827000</t>
  </si>
  <si>
    <t xml:space="preserve">T.M.O CHILTAN TOWN            </t>
  </si>
  <si>
    <t xml:space="preserve">LADIES PARK B.NO.4 S/TOWN QTA </t>
  </si>
  <si>
    <t>0086300</t>
  </si>
  <si>
    <t xml:space="preserve">B.NO 3 S.TOWN                 </t>
  </si>
  <si>
    <t xml:space="preserve"> QUETTA                       </t>
  </si>
  <si>
    <t>0086400</t>
  </si>
  <si>
    <t xml:space="preserve">B.NO 2 S.TOWN                 </t>
  </si>
  <si>
    <t>0086700</t>
  </si>
  <si>
    <t xml:space="preserve"> BUS ADDA                     </t>
  </si>
  <si>
    <t>0086800</t>
  </si>
  <si>
    <t xml:space="preserve">BUS ADDA                      </t>
  </si>
  <si>
    <t>0804001</t>
  </si>
  <si>
    <t xml:space="preserve">B.NO 4 S.TOWN                 </t>
  </si>
  <si>
    <t>1570600</t>
  </si>
  <si>
    <t xml:space="preserve">ADMINSTRATOR Q.M.C            </t>
  </si>
  <si>
    <t xml:space="preserve">STREET LIGHT SIRKI ROAD       </t>
  </si>
  <si>
    <t>1572000</t>
  </si>
  <si>
    <t xml:space="preserve">ADMINISTRATION                </t>
  </si>
  <si>
    <t xml:space="preserve">KILLI GUL ABAD ALLAHABAD      </t>
  </si>
  <si>
    <t>48114</t>
  </si>
  <si>
    <t>0007000</t>
  </si>
  <si>
    <t xml:space="preserve">Q.M.C FAIR BRIGADE            </t>
  </si>
  <si>
    <t xml:space="preserve">MECONGHY ROAD                 </t>
  </si>
  <si>
    <t>0787600</t>
  </si>
  <si>
    <t xml:space="preserve">ZARGOON ROAD QUETTA           </t>
  </si>
  <si>
    <t>01</t>
  </si>
  <si>
    <t>0950201</t>
  </si>
  <si>
    <t>Q.M.C FATIMA JINNAH GIRLS SCH.</t>
  </si>
  <si>
    <t xml:space="preserve">GORDAT SING ROAD QTA          </t>
  </si>
  <si>
    <t xml:space="preserve">3551 </t>
  </si>
  <si>
    <t>0950300</t>
  </si>
  <si>
    <t xml:space="preserve">FATEMA JINNAH GIRLS SCHOOL    </t>
  </si>
  <si>
    <t xml:space="preserve">GURDAT SINGH ROAD QTA         </t>
  </si>
  <si>
    <t xml:space="preserve">GORDATT SINGH ROAD QTA        </t>
  </si>
  <si>
    <t>0950400</t>
  </si>
  <si>
    <t xml:space="preserve">FATIMA JINNAH GIRLS SCHOOL    </t>
  </si>
  <si>
    <t>1390110</t>
  </si>
  <si>
    <t xml:space="preserve">T.M.O CHILTAN TOWN UNION      </t>
  </si>
  <si>
    <t xml:space="preserve">RAISANI ROAD HALQA NO.47 QTA  </t>
  </si>
  <si>
    <t>1654101</t>
  </si>
  <si>
    <t xml:space="preserve">MAYOR MUNICIPHL CORPORATION   </t>
  </si>
  <si>
    <t xml:space="preserve">DISPENSARY JOINT RD           </t>
  </si>
  <si>
    <t xml:space="preserve">SARIAB CHOWK QUETTA.          </t>
  </si>
  <si>
    <t>1654901</t>
  </si>
  <si>
    <t xml:space="preserve">MAIR Q.M.C.                   </t>
  </si>
  <si>
    <t xml:space="preserve">STREET LIGHT COMALANT         </t>
  </si>
  <si>
    <t xml:space="preserve">SARAB ROAD                    </t>
  </si>
  <si>
    <t>0754900</t>
  </si>
  <si>
    <t xml:space="preserve">QMC TRAFIC SIGNAL             </t>
  </si>
  <si>
    <t xml:space="preserve">ZARGOON ROAD                  </t>
  </si>
  <si>
    <t xml:space="preserve">0101 </t>
  </si>
  <si>
    <t>0755000</t>
  </si>
  <si>
    <t xml:space="preserve">TWON MUNCIPAL OFFICER         </t>
  </si>
  <si>
    <t xml:space="preserve">STREET LIGHT ZARGOON TOWN     </t>
  </si>
  <si>
    <t xml:space="preserve">6707 </t>
  </si>
  <si>
    <t>0000011</t>
  </si>
  <si>
    <t xml:space="preserve">X.E.N B&amp;R                     </t>
  </si>
  <si>
    <t xml:space="preserve">STREET LIGHT SIRYAB ROAD      </t>
  </si>
  <si>
    <t>0031405</t>
  </si>
  <si>
    <t xml:space="preserve">CITY COMPLAINT LIQAT BAZAR    </t>
  </si>
  <si>
    <t>0058160</t>
  </si>
  <si>
    <t xml:space="preserve">PRINCE ROAD ART SCHOOL ROAD   </t>
  </si>
  <si>
    <t>0069100</t>
  </si>
  <si>
    <t>0640800</t>
  </si>
  <si>
    <t xml:space="preserve">SARIYAB ROAD QUETTA           </t>
  </si>
  <si>
    <t>0719700</t>
  </si>
  <si>
    <t xml:space="preserve">STREET LIGHT                  </t>
  </si>
  <si>
    <t xml:space="preserve">MUNICPAL CARPORATION Z.ROAD   </t>
  </si>
  <si>
    <t>0748600</t>
  </si>
  <si>
    <t xml:space="preserve">SARIYAB PHATTAK ZARGHOON ROAD </t>
  </si>
  <si>
    <t>0754300</t>
  </si>
  <si>
    <t xml:space="preserve">X.E.N PROVINCIAL              </t>
  </si>
  <si>
    <t>B&amp;R DIV STREET LIGHT ZARGOON R</t>
  </si>
  <si>
    <t>0760603</t>
  </si>
  <si>
    <t xml:space="preserve">NAZIM                         </t>
  </si>
  <si>
    <t xml:space="preserve">CHILTAN TOWN STREET LIGHT     </t>
  </si>
  <si>
    <t xml:space="preserve">RAILWAY SOCIETY QUETTA.       </t>
  </si>
  <si>
    <t>0984700</t>
  </si>
  <si>
    <t xml:space="preserve">QMC                           </t>
  </si>
  <si>
    <t xml:space="preserve">PATEL BAGH                    </t>
  </si>
  <si>
    <t>1274501</t>
  </si>
  <si>
    <t xml:space="preserve">EXECTIVE ENGINEER             </t>
  </si>
  <si>
    <t xml:space="preserve">STREET LIGHT AYUB KHAN ROAD   </t>
  </si>
  <si>
    <t>1587200</t>
  </si>
  <si>
    <t xml:space="preserve">ARBAB KARAM KHAN ROAD         </t>
  </si>
  <si>
    <t>1653001</t>
  </si>
  <si>
    <t xml:space="preserve">PROJECT DIRCETOR              </t>
  </si>
  <si>
    <t xml:space="preserve">FLY OVER STREET LIGHT         </t>
  </si>
  <si>
    <t>1653003</t>
  </si>
  <si>
    <t>ASSISSTANT ENGINEER</t>
  </si>
  <si>
    <t>M &amp; T WORK SHOP NO:02</t>
  </si>
  <si>
    <t>SARIAB ROAD QUETTA.</t>
  </si>
  <si>
    <t>04408</t>
  </si>
  <si>
    <t>1653004</t>
  </si>
  <si>
    <t>ASSISTANT ENGIREER</t>
  </si>
  <si>
    <t>M &amp; T WORK SHOP NO:01</t>
  </si>
  <si>
    <t>1678201</t>
  </si>
  <si>
    <t xml:space="preserve">MAYOR Q.M.C.                  </t>
  </si>
  <si>
    <t xml:space="preserve">SARIAB ROAD QTA               </t>
  </si>
  <si>
    <t>1694700</t>
  </si>
  <si>
    <t xml:space="preserve">NAZIM CHILTAN TOWN            </t>
  </si>
  <si>
    <t xml:space="preserve">STREET LIGHT GREEN TOWN       </t>
  </si>
  <si>
    <t xml:space="preserve">SARIAB ROAD QUETTA            </t>
  </si>
  <si>
    <t>1696700</t>
  </si>
  <si>
    <t>1697800</t>
  </si>
  <si>
    <t xml:space="preserve">STREET LIGHT MANGAL STREET    </t>
  </si>
  <si>
    <t>1706800</t>
  </si>
  <si>
    <t>1706900</t>
  </si>
  <si>
    <t>1707900</t>
  </si>
  <si>
    <t xml:space="preserve">RAISANI ROAD QUETTA.          </t>
  </si>
  <si>
    <t>1708000</t>
  </si>
  <si>
    <t xml:space="preserve">SABI ROAD                     </t>
  </si>
  <si>
    <t xml:space="preserve">QUT                           </t>
  </si>
  <si>
    <t>2049204</t>
  </si>
  <si>
    <t xml:space="preserve">STREET LIGHT GULSHAN-E-       </t>
  </si>
  <si>
    <t xml:space="preserve">SADDIQUE SARIAB ROAD QUETTA   </t>
  </si>
  <si>
    <t>48115</t>
  </si>
  <si>
    <t>0149221</t>
  </si>
  <si>
    <t xml:space="preserve"> KAKAR COLONY KHUSHAL ROAD    </t>
  </si>
  <si>
    <t>3143401</t>
  </si>
  <si>
    <t xml:space="preserve">TOWN OFFICER SERVICE          </t>
  </si>
  <si>
    <t xml:space="preserve">ALLAQA NO.39 PISHTOON ABAD    </t>
  </si>
  <si>
    <t xml:space="preserve">ZARGHOON TOWN QTA.            </t>
  </si>
  <si>
    <t>0129500</t>
  </si>
  <si>
    <t xml:space="preserve">TOWN OFFICE SERVICES          </t>
  </si>
  <si>
    <t xml:space="preserve">HALQA NO-38 SIRKI ROAD        </t>
  </si>
  <si>
    <t xml:space="preserve">5701 </t>
  </si>
  <si>
    <t>0149501</t>
  </si>
  <si>
    <t>PASHTOON ABAD NASRULLAH KHAN R</t>
  </si>
  <si>
    <t xml:space="preserve">Q                             </t>
  </si>
  <si>
    <t>0149502</t>
  </si>
  <si>
    <t xml:space="preserve"> BALOCH KHAN CHOWK S.TOWN     </t>
  </si>
  <si>
    <t>0551900</t>
  </si>
  <si>
    <t xml:space="preserve">TOWN OFFICER ZAFGHOON TOWN    </t>
  </si>
  <si>
    <t xml:space="preserve">STREET LIGHT BURMA ROAD NEAR  </t>
  </si>
  <si>
    <t xml:space="preserve">GIRLS MIDDLE SCHOOL P/ABAD    </t>
  </si>
  <si>
    <t>0655300</t>
  </si>
  <si>
    <t xml:space="preserve">TOWN OFFICER SERVICES         </t>
  </si>
  <si>
    <t>S/LIGHT WASA STREET TARO CHOWK</t>
  </si>
  <si>
    <t xml:space="preserve">P-ABAD QTA                    </t>
  </si>
  <si>
    <t>0664500</t>
  </si>
  <si>
    <t xml:space="preserve">TOWN OFFICER STREET LIGHT     </t>
  </si>
  <si>
    <t xml:space="preserve">ZARGHOON TOWN                 </t>
  </si>
  <si>
    <t>1147100</t>
  </si>
  <si>
    <t xml:space="preserve">TOWN OFFICER                  </t>
  </si>
  <si>
    <t xml:space="preserve">ALAQA NO.39 KAKAR COLONY      </t>
  </si>
  <si>
    <t xml:space="preserve">G.NO.2 PASHTOON ABAD QTA      </t>
  </si>
  <si>
    <t>1347400</t>
  </si>
  <si>
    <t xml:space="preserve">TOWH OFFICER                  </t>
  </si>
  <si>
    <t xml:space="preserve">SERVICES STREET LIGHT RASHEED </t>
  </si>
  <si>
    <t xml:space="preserve">CHOWK P.ABAD QUETTA.          </t>
  </si>
  <si>
    <t>1475500</t>
  </si>
  <si>
    <t>TOWN OFFICER SERVICES ZARGHOON</t>
  </si>
  <si>
    <t xml:space="preserve">MUHALLA TAHIR NAIB NAZIM      </t>
  </si>
  <si>
    <t xml:space="preserve">ISMAIL STREET PSTOON ABAD QTA </t>
  </si>
  <si>
    <t>2221101</t>
  </si>
  <si>
    <t xml:space="preserve">NEW AGHAN ROAD                </t>
  </si>
  <si>
    <t>2380901</t>
  </si>
  <si>
    <t xml:space="preserve">STREET LIGHT NEW              </t>
  </si>
  <si>
    <t xml:space="preserve">ISMAIL COLONY NEAR GRAVEYARD  </t>
  </si>
  <si>
    <t>2969712</t>
  </si>
  <si>
    <t xml:space="preserve">ZARGHOON TOWN STREET LIGHT    </t>
  </si>
  <si>
    <t xml:space="preserve">ADA NO.39 PASHTOON ABAD       </t>
  </si>
  <si>
    <t>3364201</t>
  </si>
  <si>
    <t xml:space="preserve">S/LIGHT ST NO-12 MULLA SALAM  </t>
  </si>
  <si>
    <t xml:space="preserve">ROAD P-ABAD QUETTA            </t>
  </si>
  <si>
    <t>48116</t>
  </si>
  <si>
    <t>0720800</t>
  </si>
  <si>
    <t xml:space="preserve">SLAUGHTAR HOUSE               </t>
  </si>
  <si>
    <t xml:space="preserve">TAKHTANI BY PASS QUETTA       </t>
  </si>
  <si>
    <t xml:space="preserve">ROAD QUETTA                   </t>
  </si>
  <si>
    <t xml:space="preserve">0203 </t>
  </si>
  <si>
    <t>0720900</t>
  </si>
  <si>
    <t xml:space="preserve">SALATER HOUSE                 </t>
  </si>
  <si>
    <t xml:space="preserve">TAKHTANI BY PASS QUETTA ROAD  </t>
  </si>
  <si>
    <t>0720700</t>
  </si>
  <si>
    <t xml:space="preserve">TAKHTANI BAI PASS QTA         </t>
  </si>
  <si>
    <t xml:space="preserve">QUETA                         </t>
  </si>
  <si>
    <t>1028207</t>
  </si>
  <si>
    <t xml:space="preserve">METRO POLITON                 </t>
  </si>
  <si>
    <t xml:space="preserve">SASTA BAZAR CHANDNI CHOWK     </t>
  </si>
  <si>
    <t xml:space="preserve">1717 </t>
  </si>
  <si>
    <t>48121</t>
  </si>
  <si>
    <t>0930400</t>
  </si>
  <si>
    <t xml:space="preserve">Q.M.C DISPANSARY              </t>
  </si>
  <si>
    <t xml:space="preserve">3410 </t>
  </si>
  <si>
    <t>1133302</t>
  </si>
  <si>
    <t xml:space="preserve">QMC DISPANSARY                </t>
  </si>
  <si>
    <t xml:space="preserve">BALUCHI STREET                </t>
  </si>
  <si>
    <t>1133303</t>
  </si>
  <si>
    <t xml:space="preserve">HABIB ULLAH                   </t>
  </si>
  <si>
    <t xml:space="preserve">DISPANSARY BALUCHI            </t>
  </si>
  <si>
    <t xml:space="preserve">STREET QUETTA                 </t>
  </si>
  <si>
    <t>1170000</t>
  </si>
  <si>
    <t xml:space="preserve">MUNCIPAL DISPENSARY           </t>
  </si>
  <si>
    <t xml:space="preserve">K.ROAD QTA                    </t>
  </si>
  <si>
    <t>1171000</t>
  </si>
  <si>
    <t xml:space="preserve">M.ENGL M.CORPORTION           </t>
  </si>
  <si>
    <t xml:space="preserve">KASNI ROAD QTA                </t>
  </si>
  <si>
    <t xml:space="preserve">5301 </t>
  </si>
  <si>
    <t>1412402</t>
  </si>
  <si>
    <t xml:space="preserve">T M O ZARGHOON TOWN           </t>
  </si>
  <si>
    <t xml:space="preserve">TARIF SIGNAL SAMUNGLI ROAD    </t>
  </si>
  <si>
    <t xml:space="preserve">NEAR UFONE OFFICE QUETTA      </t>
  </si>
  <si>
    <t>1512501</t>
  </si>
  <si>
    <t>ASSISTANT ENGINEER M.C.Q</t>
  </si>
  <si>
    <t>TRAFIC SIGNAL CHINA CHOWK</t>
  </si>
  <si>
    <t>QTA</t>
  </si>
  <si>
    <t>01715</t>
  </si>
  <si>
    <t>0034541</t>
  </si>
  <si>
    <t xml:space="preserve">ZARGHOON TOWN QUETTA          </t>
  </si>
  <si>
    <t xml:space="preserve">TOGHI ROAD                    </t>
  </si>
  <si>
    <t>0908800</t>
  </si>
  <si>
    <t xml:space="preserve">ZARGHOON TOWN ALAMDAR ROAD    </t>
  </si>
  <si>
    <t>0999501</t>
  </si>
  <si>
    <t xml:space="preserve">EXECUTIVE ENGINEER            </t>
  </si>
  <si>
    <t xml:space="preserve">STREET LIGHT YAZDAN KHAN      </t>
  </si>
  <si>
    <t>1027103</t>
  </si>
  <si>
    <t xml:space="preserve">NAZIM MUNCPAL ZARGHOON TOWN   </t>
  </si>
  <si>
    <t>MAJ: MOHAMMAD ALI SHAHEED ROAD</t>
  </si>
  <si>
    <t xml:space="preserve">6703 </t>
  </si>
  <si>
    <t>1054601</t>
  </si>
  <si>
    <t xml:space="preserve">HAJI GHABI                    </t>
  </si>
  <si>
    <t xml:space="preserve">ROAD QUETTA.                  </t>
  </si>
  <si>
    <t>1075401</t>
  </si>
  <si>
    <t xml:space="preserve">XEN PROJECTS DIVISION II      </t>
  </si>
  <si>
    <t xml:space="preserve">QUETTA ALAMDAR ROAD           </t>
  </si>
  <si>
    <t>1316701</t>
  </si>
  <si>
    <t xml:space="preserve">TOWN MUMCIPAL OFFICER         </t>
  </si>
  <si>
    <t xml:space="preserve">ALI BHADAR ROAD               </t>
  </si>
  <si>
    <t>1441501</t>
  </si>
  <si>
    <t xml:space="preserve">ABDULLAH JAN LANE             </t>
  </si>
  <si>
    <t xml:space="preserve">TAIL GODOWN                   </t>
  </si>
  <si>
    <t>1538301</t>
  </si>
  <si>
    <t xml:space="preserve">GAWAL MANDI CHOWK             </t>
  </si>
  <si>
    <t xml:space="preserve">KANSI ROAD QUETTA.            </t>
  </si>
  <si>
    <t>1579401</t>
  </si>
  <si>
    <t xml:space="preserve">TAREEN SHEHAR                 </t>
  </si>
  <si>
    <t>1594453</t>
  </si>
  <si>
    <t xml:space="preserve">ZARGHOON TOWN KHUDAIDAD ROAD  </t>
  </si>
  <si>
    <t>1594454</t>
  </si>
  <si>
    <t xml:space="preserve">EXECTUIVE ENGINEER            </t>
  </si>
  <si>
    <t xml:space="preserve">STREET LIGHT KHUDAD-E-DAD     </t>
  </si>
  <si>
    <t xml:space="preserve">CHOWK QUETTA                  </t>
  </si>
  <si>
    <t>0009138</t>
  </si>
  <si>
    <t xml:space="preserve">M.ENG.M.CORPORTION            </t>
  </si>
  <si>
    <t xml:space="preserve">MARRIAGE HALL                 </t>
  </si>
  <si>
    <t xml:space="preserve">KANSI ROAD QTA                </t>
  </si>
  <si>
    <t>48122</t>
  </si>
  <si>
    <t>0005000</t>
  </si>
  <si>
    <t xml:space="preserve">ZARGHOON TOWN NASEERABAD      </t>
  </si>
  <si>
    <t>0402001</t>
  </si>
  <si>
    <t xml:space="preserve">ZARGHOON TOWN KHARTAR ROAD    </t>
  </si>
  <si>
    <t xml:space="preserve">MARRI-A-BAD QUETTA            </t>
  </si>
  <si>
    <t>0775300</t>
  </si>
  <si>
    <t xml:space="preserve">ZARGHOON TOWN TAREEN SHEHR    </t>
  </si>
  <si>
    <t>0874200</t>
  </si>
  <si>
    <t xml:space="preserve">ZARGHOON TOWN ALAMDAR         </t>
  </si>
  <si>
    <t>1631500</t>
  </si>
  <si>
    <t xml:space="preserve">ALAMDAR ROAD QUETTA           </t>
  </si>
  <si>
    <t>1631700</t>
  </si>
  <si>
    <t xml:space="preserve">DURRANI BAGH                  </t>
  </si>
  <si>
    <t>2174800</t>
  </si>
  <si>
    <t xml:space="preserve">KILLI SAIDAN                  </t>
  </si>
  <si>
    <t>48124</t>
  </si>
  <si>
    <t>0677801</t>
  </si>
  <si>
    <t xml:space="preserve">Q.M.C.                        </t>
  </si>
  <si>
    <t xml:space="preserve">STREET LIGHT JAIL ROAD        </t>
  </si>
  <si>
    <t xml:space="preserve">6602 </t>
  </si>
  <si>
    <t>1041002</t>
  </si>
  <si>
    <t xml:space="preserve">MAYAR Q.M.C.                  </t>
  </si>
  <si>
    <t xml:space="preserve">RAILWAY HOUSING SOCIETY QTA   </t>
  </si>
  <si>
    <t xml:space="preserve">JINNAH ROAD  QUATTA           </t>
  </si>
  <si>
    <t>1057400</t>
  </si>
  <si>
    <t xml:space="preserve">ADMINISTRATOR                 </t>
  </si>
  <si>
    <t xml:space="preserve">Q.M.C QUETTA                  </t>
  </si>
  <si>
    <t>1057402</t>
  </si>
  <si>
    <t xml:space="preserve">ADMINISTATOR                  </t>
  </si>
  <si>
    <t>1057403</t>
  </si>
  <si>
    <t>1058900</t>
  </si>
  <si>
    <t xml:space="preserve">MAYOR MUNICIPAL CORPORATION   </t>
  </si>
  <si>
    <t xml:space="preserve">LIAQUAT PAKK ADDALET ROAD     </t>
  </si>
  <si>
    <t xml:space="preserve">SURCULAR ROAD QTA             </t>
  </si>
  <si>
    <t xml:space="preserve">7612 </t>
  </si>
  <si>
    <t>1058901</t>
  </si>
  <si>
    <t xml:space="preserve">ADDALET ROAD  QTA             </t>
  </si>
  <si>
    <t>1059002</t>
  </si>
  <si>
    <t xml:space="preserve">MAYOR Q.M.C OFFICE            </t>
  </si>
  <si>
    <t xml:space="preserve">ADALAT ROAD                   </t>
  </si>
  <si>
    <t>1059003</t>
  </si>
  <si>
    <t xml:space="preserve">MAYOR Q.M.C OFFICE INSCOMB RD </t>
  </si>
  <si>
    <t>1059004</t>
  </si>
  <si>
    <t>1059800</t>
  </si>
  <si>
    <t xml:space="preserve">Q.M.C MOSQUE                  </t>
  </si>
  <si>
    <t>1101402</t>
  </si>
  <si>
    <t xml:space="preserve">T.M.O ZARGHOON                </t>
  </si>
  <si>
    <t xml:space="preserve">TRAFFIC SIGNAL MANAN CHOWK    </t>
  </si>
  <si>
    <t>1101403</t>
  </si>
  <si>
    <t>MANAN CHOWK</t>
  </si>
  <si>
    <t>QUETTA.</t>
  </si>
  <si>
    <t>1139101</t>
  </si>
  <si>
    <t xml:space="preserve">MOYAR QMC                     </t>
  </si>
  <si>
    <t xml:space="preserve">TRIFFIC SINGAL                </t>
  </si>
  <si>
    <t xml:space="preserve">JINNAH RD QTA                 </t>
  </si>
  <si>
    <t>1172705</t>
  </si>
  <si>
    <t>ASSISTAN ENGINEER M.C.Q</t>
  </si>
  <si>
    <t>SCIENCE COLLEGE</t>
  </si>
  <si>
    <t>1173101</t>
  </si>
  <si>
    <t xml:space="preserve">TRAFFIC SIGNAL SCIENCE COLL   </t>
  </si>
  <si>
    <t xml:space="preserve">JINNAH ROAD QUETTA            </t>
  </si>
  <si>
    <t>1181800</t>
  </si>
  <si>
    <t xml:space="preserve">ADMINISTRATOR Q.M.C           </t>
  </si>
  <si>
    <t>1182302</t>
  </si>
  <si>
    <t xml:space="preserve">MASJID SHARIF                 </t>
  </si>
  <si>
    <t xml:space="preserve">JINNAH ROAD                   </t>
  </si>
  <si>
    <t>1199900</t>
  </si>
  <si>
    <t xml:space="preserve">CHAKOO LAL                    </t>
  </si>
  <si>
    <t>1210201</t>
  </si>
  <si>
    <t xml:space="preserve">TRAFFIC SIGNAL T.T. CHOWK     </t>
  </si>
  <si>
    <t>1210202</t>
  </si>
  <si>
    <t>ASSISATAN ENGINEER M.C.O</t>
  </si>
  <si>
    <t>CHOWK QUETTA</t>
  </si>
  <si>
    <t>1213701</t>
  </si>
  <si>
    <t xml:space="preserve">TRAFFIC SIGNAL HOCKEY CHOWK   </t>
  </si>
  <si>
    <t xml:space="preserve">ZARGHOON ROAD QUETTA          </t>
  </si>
  <si>
    <t>0016108</t>
  </si>
  <si>
    <t xml:space="preserve">PD QUETTA DEVELOPMENT PACKAGE </t>
  </si>
  <si>
    <t xml:space="preserve">AIRPORT ROAD NEAR ASKARI PARK </t>
  </si>
  <si>
    <t>0024430</t>
  </si>
  <si>
    <t xml:space="preserve">WAHDAT CLY                    </t>
  </si>
  <si>
    <t>03</t>
  </si>
  <si>
    <t>0054950</t>
  </si>
  <si>
    <t xml:space="preserve">CHILTAN TOWN JAIL ROAD        </t>
  </si>
  <si>
    <t>0068380</t>
  </si>
  <si>
    <t xml:space="preserve">CHILTAN TOWN KILLI ISMAIL     </t>
  </si>
  <si>
    <t xml:space="preserve">6704 </t>
  </si>
  <si>
    <t>0077460</t>
  </si>
  <si>
    <t xml:space="preserve">Q.M.C. STREET LIGHT           </t>
  </si>
  <si>
    <t xml:space="preserve">ZARGHOON TOWN WHITE ROAD      </t>
  </si>
  <si>
    <t>0080620</t>
  </si>
  <si>
    <t xml:space="preserve">TELEPHONE HOUSE               </t>
  </si>
  <si>
    <t>0090350</t>
  </si>
  <si>
    <t xml:space="preserve">ZARGHOON TOWN JINNAH ROAD     </t>
  </si>
  <si>
    <t>0092270</t>
  </si>
  <si>
    <t>ZARGHOON TOWN KATHERY SUB DIVI</t>
  </si>
  <si>
    <t>0226202</t>
  </si>
  <si>
    <t>P D QUETTA DEVELOPMENT PACKAGE</t>
  </si>
  <si>
    <t xml:space="preserve">JOINT ROAD                    </t>
  </si>
  <si>
    <t>0620301</t>
  </si>
  <si>
    <t xml:space="preserve">XEN PROJECT DIVISION-II       </t>
  </si>
  <si>
    <t>STREET LIGHT NEAR CENTRAL JAIL</t>
  </si>
  <si>
    <t xml:space="preserve">JAIL ROAD QUETTA.             </t>
  </si>
  <si>
    <t>0689701</t>
  </si>
  <si>
    <t xml:space="preserve">STREET LIGHT NEAR MARKER      </t>
  </si>
  <si>
    <t xml:space="preserve">FACTORY JAIL ROAD QUETTA      </t>
  </si>
  <si>
    <t>1038302</t>
  </si>
  <si>
    <t xml:space="preserve">XEN MAINTENANCE DIV I         </t>
  </si>
  <si>
    <t xml:space="preserve">STREET LIGHT WHITE ROAD       </t>
  </si>
  <si>
    <t>1096800</t>
  </si>
  <si>
    <t xml:space="preserve">STREET LIGHT Q.M.C            </t>
  </si>
  <si>
    <t xml:space="preserve">CHILTAN TOWN BROWERY ROAD     </t>
  </si>
  <si>
    <t>1304602</t>
  </si>
  <si>
    <t xml:space="preserve">DISTRICT OFFICER ROAD I       </t>
  </si>
  <si>
    <t xml:space="preserve">SPINEY ROAD                   </t>
  </si>
  <si>
    <t>3046007</t>
  </si>
  <si>
    <t xml:space="preserve">XEN PROJECT DIVISION          </t>
  </si>
  <si>
    <t xml:space="preserve">NEAR FATEH KHAN MARKET        </t>
  </si>
  <si>
    <t xml:space="preserve">JINNAH ROAD QUETTA.           </t>
  </si>
  <si>
    <t>3334100</t>
  </si>
  <si>
    <t xml:space="preserve">MASOOM SHAH STREET            </t>
  </si>
  <si>
    <t xml:space="preserve">PHE WATER SUPPLY SCHEME       </t>
  </si>
  <si>
    <t xml:space="preserve">ZARGHOON TOWN OFFICE          </t>
  </si>
  <si>
    <t>1059303</t>
  </si>
  <si>
    <t xml:space="preserve">MAYOR MUNCIPAL CORPORATION    </t>
  </si>
  <si>
    <t xml:space="preserve">ADALAT ROAD QUETTA            </t>
  </si>
  <si>
    <t>1059500</t>
  </si>
  <si>
    <t xml:space="preserve">MAYOR QMC OFFICE              </t>
  </si>
  <si>
    <t>48125</t>
  </si>
  <si>
    <t>0048901</t>
  </si>
  <si>
    <t xml:space="preserve">MUNICIPAL OFFICER             </t>
  </si>
  <si>
    <t xml:space="preserve">KILLI UMER ROAD QUETTA        </t>
  </si>
  <si>
    <t>0111301</t>
  </si>
  <si>
    <t xml:space="preserve">ZARGHOON TOWN KILLI KOTWAL    </t>
  </si>
  <si>
    <t>0131901</t>
  </si>
  <si>
    <t>0219601</t>
  </si>
  <si>
    <t>0418701</t>
  </si>
  <si>
    <t xml:space="preserve">PROJECT ENGINEER              </t>
  </si>
  <si>
    <t xml:space="preserve">STREET LIGHT ZARGHOON ABAD    </t>
  </si>
  <si>
    <t>0544501</t>
  </si>
  <si>
    <t xml:space="preserve">KILLI NASSRAAN                </t>
  </si>
  <si>
    <t>0626901</t>
  </si>
  <si>
    <t xml:space="preserve">NAWA KILLI                    </t>
  </si>
  <si>
    <t>2059700</t>
  </si>
  <si>
    <t xml:space="preserve">LABOUR COLONY NAWA KILLI      </t>
  </si>
  <si>
    <t>48131</t>
  </si>
  <si>
    <t>0000400</t>
  </si>
  <si>
    <t xml:space="preserve">DISTRICT COORDINATION OFFICE  </t>
  </si>
  <si>
    <t xml:space="preserve">QTA.CITY DEGREE COLLEGE  QTA  </t>
  </si>
  <si>
    <t xml:space="preserve">CHECHPOST SARIAB ROAD QUETTA  </t>
  </si>
  <si>
    <t>0000500</t>
  </si>
  <si>
    <t>DISST: CORDINATION OFFICER QTA</t>
  </si>
  <si>
    <t xml:space="preserve">QUETTA CITY DIGRI COLLEGE     </t>
  </si>
  <si>
    <t xml:space="preserve">CHECK POST SARIAB ROAD QUETTA </t>
  </si>
  <si>
    <t>0000600</t>
  </si>
  <si>
    <t xml:space="preserve">SARIAB ROAD                   </t>
  </si>
  <si>
    <t>0000700</t>
  </si>
  <si>
    <t>1009702</t>
  </si>
  <si>
    <t>QAMBRANI ROAD NEAR TOHEED ABAD</t>
  </si>
  <si>
    <t>1022604</t>
  </si>
  <si>
    <t xml:space="preserve">STREET LIGHT SHAREEF ABAD     </t>
  </si>
  <si>
    <t xml:space="preserve">QAMBRANI ROAD QUETTA          </t>
  </si>
  <si>
    <t>0028512</t>
  </si>
  <si>
    <t xml:space="preserve">OCTROI OFFICE                 </t>
  </si>
  <si>
    <t xml:space="preserve">SIBI ROAD                     </t>
  </si>
  <si>
    <t xml:space="preserve">SARIAB QUETTA                 </t>
  </si>
  <si>
    <t>0028513</t>
  </si>
  <si>
    <t xml:space="preserve">UNION CONSAL OFFICE           </t>
  </si>
  <si>
    <t>48132</t>
  </si>
  <si>
    <t>0155602</t>
  </si>
  <si>
    <t xml:space="preserve">NCERST WASA TUBE WELL         </t>
  </si>
  <si>
    <t>0155604</t>
  </si>
  <si>
    <t xml:space="preserve"> SARIAB ROAD                  </t>
  </si>
  <si>
    <t>1519800</t>
  </si>
  <si>
    <t xml:space="preserve">ADMINISTRATER MUNCIPAL        </t>
  </si>
  <si>
    <t xml:space="preserve">7604 </t>
  </si>
  <si>
    <t>48133</t>
  </si>
  <si>
    <t>0033501</t>
  </si>
  <si>
    <t xml:space="preserve">T M O CHILTAN TOWN            </t>
  </si>
  <si>
    <t xml:space="preserve">KILLI PAIND KHAN              </t>
  </si>
  <si>
    <t>0034500</t>
  </si>
  <si>
    <t xml:space="preserve">KILLI SHAKAR SAMNLI           </t>
  </si>
  <si>
    <t>0034501</t>
  </si>
  <si>
    <t xml:space="preserve">T M O CHILAN TOWN             </t>
  </si>
  <si>
    <t xml:space="preserve">KILLI TREEN ABAD              </t>
  </si>
  <si>
    <t>0034503</t>
  </si>
  <si>
    <t xml:space="preserve">KILLI BARAICH                 </t>
  </si>
  <si>
    <t>0034600</t>
  </si>
  <si>
    <t xml:space="preserve">T M O                         </t>
  </si>
  <si>
    <t xml:space="preserve">KILLI SYED MHIUDDIN           </t>
  </si>
  <si>
    <t xml:space="preserve">AGHA QUETTA                   </t>
  </si>
  <si>
    <t>0059300</t>
  </si>
  <si>
    <t>0072200</t>
  </si>
  <si>
    <t>0352300</t>
  </si>
  <si>
    <t xml:space="preserve">KILLI MALI ZAI SAIDAN         </t>
  </si>
  <si>
    <t xml:space="preserve">NEAR NOHIESAR QTA.            </t>
  </si>
  <si>
    <t>0352400</t>
  </si>
  <si>
    <t xml:space="preserve">NAWA KILLI (A) NEAR KILLI     </t>
  </si>
  <si>
    <t xml:space="preserve">NOSHISAR THANA QUETTA         </t>
  </si>
  <si>
    <t>0352500</t>
  </si>
  <si>
    <t xml:space="preserve">NAWA KILLI NEAR KILLI NOHISAR </t>
  </si>
  <si>
    <t xml:space="preserve">THANA QUETTA                  </t>
  </si>
  <si>
    <t>0837100</t>
  </si>
  <si>
    <t xml:space="preserve">SHABO CHAWK                   </t>
  </si>
  <si>
    <t>0918600</t>
  </si>
  <si>
    <t xml:space="preserve">KILLI SHABO                   </t>
  </si>
  <si>
    <t>0918601</t>
  </si>
  <si>
    <t>T M O CHILTAN TOWN STRREET LIG</t>
  </si>
  <si>
    <t xml:space="preserve">MASJID IMAM ABUHANIFA         </t>
  </si>
  <si>
    <t>0922500</t>
  </si>
  <si>
    <t xml:space="preserve">AFGHAN TOWN                   </t>
  </si>
  <si>
    <t>0924400</t>
  </si>
  <si>
    <t xml:space="preserve">YOUSAF ZAE                    </t>
  </si>
  <si>
    <t xml:space="preserve">COLONY QUETTA                 </t>
  </si>
  <si>
    <t>0924500</t>
  </si>
  <si>
    <t xml:space="preserve">ABDUL COLONY                  </t>
  </si>
  <si>
    <t>0933200</t>
  </si>
  <si>
    <t xml:space="preserve">EID GHA SHABO II              </t>
  </si>
  <si>
    <t>0933300</t>
  </si>
  <si>
    <t xml:space="preserve">T M O CHILATN TOWN            </t>
  </si>
  <si>
    <t xml:space="preserve">BABI QAKA GALI NO 43          </t>
  </si>
  <si>
    <t>0933400</t>
  </si>
  <si>
    <t xml:space="preserve">EID GHA PHASE 1               </t>
  </si>
  <si>
    <t>0933600</t>
  </si>
  <si>
    <t xml:space="preserve">KILLI SHABO LANGO STRT        </t>
  </si>
  <si>
    <t>0943300</t>
  </si>
  <si>
    <t xml:space="preserve">SHABO MAIN ROAD               </t>
  </si>
  <si>
    <t>1104900</t>
  </si>
  <si>
    <t xml:space="preserve">STREET LIGHT KILLI BARAT NO 1 </t>
  </si>
  <si>
    <t>1454501</t>
  </si>
  <si>
    <t xml:space="preserve">UNION COUNCIL                 </t>
  </si>
  <si>
    <t xml:space="preserve">K.S.QTA                       </t>
  </si>
  <si>
    <t>0078508</t>
  </si>
  <si>
    <t>0346800</t>
  </si>
  <si>
    <t xml:space="preserve">KILLI SHABOO                  </t>
  </si>
  <si>
    <t xml:space="preserve">NEAR LABOUR COLONY QUETTA     </t>
  </si>
  <si>
    <t>0411900</t>
  </si>
  <si>
    <t xml:space="preserve">ADMINISTRATOR (Q.M.C)         </t>
  </si>
  <si>
    <t xml:space="preserve">STREET LIGHT CHAMAN ROAD      </t>
  </si>
  <si>
    <t>0412000</t>
  </si>
  <si>
    <t xml:space="preserve">ADMINISTRATOR (QMC)           </t>
  </si>
  <si>
    <t>0412001</t>
  </si>
  <si>
    <t xml:space="preserve">CHAMAN ROAD QUETTA            </t>
  </si>
  <si>
    <t>0412100</t>
  </si>
  <si>
    <t>0412200</t>
  </si>
  <si>
    <t xml:space="preserve">D.C.O QUETTA                  </t>
  </si>
  <si>
    <t xml:space="preserve">CHAMAN ROAD                   </t>
  </si>
  <si>
    <t>0412202</t>
  </si>
  <si>
    <t xml:space="preserve">T.M.O                         </t>
  </si>
  <si>
    <t xml:space="preserve">EHMAN CITY                    </t>
  </si>
  <si>
    <t xml:space="preserve">KILLI KHAZI QUETTA            </t>
  </si>
  <si>
    <t>0412300</t>
  </si>
  <si>
    <t>0412400</t>
  </si>
  <si>
    <t>0591602</t>
  </si>
  <si>
    <t xml:space="preserve">CHEIF ENGINEER                </t>
  </si>
  <si>
    <t xml:space="preserve">KILLI GUL MUHAMMAD            </t>
  </si>
  <si>
    <t xml:space="preserve">AIR PORT ROAD QUETTA          </t>
  </si>
  <si>
    <t>0601100</t>
  </si>
  <si>
    <t xml:space="preserve">ADMINISTOR MUNCIPAL COR       </t>
  </si>
  <si>
    <t>STREET LIGHT KILI GUL MUHAMMAD</t>
  </si>
  <si>
    <t xml:space="preserve">SYEDAN AIR PORT ROAD QTA      </t>
  </si>
  <si>
    <t>0647601</t>
  </si>
  <si>
    <t>0758901</t>
  </si>
  <si>
    <t xml:space="preserve">STREET LIGHT KILLI ALAM KHAN  </t>
  </si>
  <si>
    <t>1234501</t>
  </si>
  <si>
    <t xml:space="preserve">PROJECT DIVISION I            </t>
  </si>
  <si>
    <t>48134</t>
  </si>
  <si>
    <t>0425500</t>
  </si>
  <si>
    <t xml:space="preserve">UNION COUNCIL  LOCAL GOVT     </t>
  </si>
  <si>
    <t xml:space="preserve">SPAZAND  SIBI ROAD            </t>
  </si>
  <si>
    <t>0426000</t>
  </si>
  <si>
    <t xml:space="preserve">TEHSIL NAZIM OFFICE           </t>
  </si>
  <si>
    <t xml:space="preserve">DASHAT                        </t>
  </si>
  <si>
    <t xml:space="preserve">SPEZAND                       </t>
  </si>
  <si>
    <t>0443800</t>
  </si>
  <si>
    <t xml:space="preserve">OFFICE UNION CONCOL           </t>
  </si>
  <si>
    <t xml:space="preserve">MAIN ROAD KOLPUR QTA          </t>
  </si>
  <si>
    <t>48135</t>
  </si>
  <si>
    <t>0098702</t>
  </si>
  <si>
    <t>DEPUTY PROJECT DIRECTOR-1</t>
  </si>
  <si>
    <t>STREET LIGHT</t>
  </si>
  <si>
    <t>NEW SABZAL ROAD QUETTA</t>
  </si>
  <si>
    <t>06701</t>
  </si>
  <si>
    <t>0311000</t>
  </si>
  <si>
    <t xml:space="preserve">Q.M.C                         </t>
  </si>
  <si>
    <t xml:space="preserve">STREET LIGHT DEBA             </t>
  </si>
  <si>
    <t>0563400</t>
  </si>
  <si>
    <t xml:space="preserve">STREET LIGHT P.D.N            </t>
  </si>
  <si>
    <t xml:space="preserve">QUMBRANI ROAD                 </t>
  </si>
  <si>
    <t>0817600</t>
  </si>
  <si>
    <t xml:space="preserve">QUMBARANI ROAD                </t>
  </si>
  <si>
    <t>1823100</t>
  </si>
  <si>
    <t xml:space="preserve">STREET LIGHT KILLI ATTABAD    </t>
  </si>
  <si>
    <t xml:space="preserve">3011 </t>
  </si>
  <si>
    <t>48221</t>
  </si>
  <si>
    <t>0047100</t>
  </si>
  <si>
    <t xml:space="preserve">CHAIRMAN DISTRICT COUNCIL     </t>
  </si>
  <si>
    <t xml:space="preserve">LORALAI                       </t>
  </si>
  <si>
    <t>53104</t>
  </si>
  <si>
    <t>0151800</t>
  </si>
  <si>
    <t>0320101</t>
  </si>
  <si>
    <t xml:space="preserve">MUNCIPAL COMMATTI             </t>
  </si>
  <si>
    <t xml:space="preserve">NEAR TEHSIL ROAD LORALAI      </t>
  </si>
  <si>
    <t>0389405</t>
  </si>
  <si>
    <t xml:space="preserve">MUNCIPAL COMMITTEE            </t>
  </si>
  <si>
    <t>0391801</t>
  </si>
  <si>
    <t xml:space="preserve">MUNCIPAL COMMITEE             </t>
  </si>
  <si>
    <t>0437403</t>
  </si>
  <si>
    <t xml:space="preserve">NEAR TRAINING COLLAGE         </t>
  </si>
  <si>
    <t>0445801</t>
  </si>
  <si>
    <t xml:space="preserve">CHIEF OFFICER                 </t>
  </si>
  <si>
    <t xml:space="preserve">NEW ADDA                      </t>
  </si>
  <si>
    <t>0365101</t>
  </si>
  <si>
    <t xml:space="preserve">MUNCIPLE COMMETTE             </t>
  </si>
  <si>
    <t xml:space="preserve">0670 </t>
  </si>
  <si>
    <t>0561810</t>
  </si>
  <si>
    <t xml:space="preserve">W S S                         </t>
  </si>
  <si>
    <t xml:space="preserve">TEHSIL MUNCIPAL OFFICER       </t>
  </si>
  <si>
    <t xml:space="preserve">ROAD LEEN LORALAI             </t>
  </si>
  <si>
    <t>48222</t>
  </si>
  <si>
    <t>0540600</t>
  </si>
  <si>
    <t xml:space="preserve">UONION CONCAL OFFICE          </t>
  </si>
  <si>
    <t xml:space="preserve">RAKHNI                        </t>
  </si>
  <si>
    <t xml:space="preserve">DERA ROAD                     </t>
  </si>
  <si>
    <t>48224</t>
  </si>
  <si>
    <t>0101400</t>
  </si>
  <si>
    <t xml:space="preserve">TOWN COMMETTEE                </t>
  </si>
  <si>
    <t xml:space="preserve">B.M.HARNAI                    </t>
  </si>
  <si>
    <t xml:space="preserve">HOSPITAL ROAD                 </t>
  </si>
  <si>
    <t>0469400</t>
  </si>
  <si>
    <t xml:space="preserve">TOWN COMMATTEE HOUSE          </t>
  </si>
  <si>
    <t xml:space="preserve">HARNAI                        </t>
  </si>
  <si>
    <t>0469600</t>
  </si>
  <si>
    <t xml:space="preserve">UNION COUNCIL ROAD            </t>
  </si>
  <si>
    <t xml:space="preserve">SHAHRAGH                      </t>
  </si>
  <si>
    <t>0101600</t>
  </si>
  <si>
    <t xml:space="preserve">STREET LIGHT NO.2             </t>
  </si>
  <si>
    <t xml:space="preserve">BABOO MOHALLA HARNAI          </t>
  </si>
  <si>
    <t>0160400</t>
  </si>
  <si>
    <t>0028601</t>
  </si>
  <si>
    <t>0075302</t>
  </si>
  <si>
    <t>0101601</t>
  </si>
  <si>
    <t>53101</t>
  </si>
  <si>
    <t>48225</t>
  </si>
  <si>
    <t>0018000</t>
  </si>
  <si>
    <t xml:space="preserve">S.CITY                        </t>
  </si>
  <si>
    <t xml:space="preserve">BAZAR SINJAVI                 </t>
  </si>
  <si>
    <t>0796400</t>
  </si>
  <si>
    <t xml:space="preserve">T.M O                         </t>
  </si>
  <si>
    <t xml:space="preserve">ZIARAT CITY                   </t>
  </si>
  <si>
    <t xml:space="preserve">ZIARAT                        </t>
  </si>
  <si>
    <t>53221</t>
  </si>
  <si>
    <t>0797300</t>
  </si>
  <si>
    <t xml:space="preserve">UNION COUNCEL OFFICE          </t>
  </si>
  <si>
    <t xml:space="preserve">ZIARAT BAZAR                  </t>
  </si>
  <si>
    <t>0020103</t>
  </si>
  <si>
    <t xml:space="preserve">W S S MUNCIPAL COMMETTEE      </t>
  </si>
  <si>
    <t xml:space="preserve">KILLI GHOSKI JINNAH PARK      </t>
  </si>
  <si>
    <t xml:space="preserve">7620 </t>
  </si>
  <si>
    <t>0105100</t>
  </si>
  <si>
    <t>48226</t>
  </si>
  <si>
    <t>0939306</t>
  </si>
  <si>
    <t xml:space="preserve">MAKHTAR SUB OFFICE LORALAI    </t>
  </si>
  <si>
    <t>1212800</t>
  </si>
  <si>
    <t xml:space="preserve">MUSA KHAIL                    </t>
  </si>
  <si>
    <t>48241</t>
  </si>
  <si>
    <t>0015601</t>
  </si>
  <si>
    <t xml:space="preserve">M.BAGH                        </t>
  </si>
  <si>
    <t>53219</t>
  </si>
  <si>
    <t>0165700</t>
  </si>
  <si>
    <t xml:space="preserve">C.UNION COUNCAL               </t>
  </si>
  <si>
    <t>48242</t>
  </si>
  <si>
    <t>0001900</t>
  </si>
  <si>
    <t xml:space="preserve"> M.COMMTTE                    </t>
  </si>
  <si>
    <t xml:space="preserve"> ZHOB                         </t>
  </si>
  <si>
    <t>53106</t>
  </si>
  <si>
    <t>48244</t>
  </si>
  <si>
    <t>0775101</t>
  </si>
  <si>
    <t xml:space="preserve">KILLA SAIFULLAH               </t>
  </si>
  <si>
    <t>53220</t>
  </si>
  <si>
    <t xml:space="preserve">5350 </t>
  </si>
  <si>
    <t>0889300</t>
  </si>
  <si>
    <t xml:space="preserve">K.S.F                         </t>
  </si>
  <si>
    <t xml:space="preserve">1715 </t>
  </si>
  <si>
    <t>48311</t>
  </si>
  <si>
    <t>0014001</t>
  </si>
  <si>
    <t xml:space="preserve">CHEIF OFFICER                 </t>
  </si>
  <si>
    <t xml:space="preserve">STREET LIGHT BUS ADA          </t>
  </si>
  <si>
    <t xml:space="preserve">MASTUNG                       </t>
  </si>
  <si>
    <t>53201</t>
  </si>
  <si>
    <t>0017000</t>
  </si>
  <si>
    <t xml:space="preserve">DISTRICT OFFICER COMMUNITY    </t>
  </si>
  <si>
    <t xml:space="preserve">OFFICE AZIZ ABAD NO 1         </t>
  </si>
  <si>
    <t>53202</t>
  </si>
  <si>
    <t xml:space="preserve">3003 </t>
  </si>
  <si>
    <t>0028301</t>
  </si>
  <si>
    <t xml:space="preserve">STREET LIGHT NEAR GIRLS HIGH  </t>
  </si>
  <si>
    <t xml:space="preserve">SCHOOL MASJID ROAD MASTUNG    </t>
  </si>
  <si>
    <t>0030000</t>
  </si>
  <si>
    <t xml:space="preserve">CH:MUNCIPAL COMMEETTEE        </t>
  </si>
  <si>
    <t xml:space="preserve">MASTUNG.                      </t>
  </si>
  <si>
    <t xml:space="preserve">2119 </t>
  </si>
  <si>
    <t>0030200</t>
  </si>
  <si>
    <t xml:space="preserve">MUNICPAL COMMITTE             </t>
  </si>
  <si>
    <t>0031300</t>
  </si>
  <si>
    <t xml:space="preserve">NAZIM UNION CONCIL NO.2       </t>
  </si>
  <si>
    <t xml:space="preserve">BABU MUHALLA MASTUNG          </t>
  </si>
  <si>
    <t xml:space="preserve">3107 </t>
  </si>
  <si>
    <t>0036100</t>
  </si>
  <si>
    <t xml:space="preserve">TOWN COMMITTE  S.LIGHT        </t>
  </si>
  <si>
    <t xml:space="preserve">QTA RD MASTUNG                </t>
  </si>
  <si>
    <t>0112900</t>
  </si>
  <si>
    <t xml:space="preserve">TOWN COMMITTE (T.WELL)        </t>
  </si>
  <si>
    <t>0113000</t>
  </si>
  <si>
    <t xml:space="preserve">PUBLIC HALL TOWN COMMITTE     </t>
  </si>
  <si>
    <t xml:space="preserve">QTA RD MASTUNG G              </t>
  </si>
  <si>
    <t>0113100</t>
  </si>
  <si>
    <t xml:space="preserve">MUNICIPAL COMMITTEE           </t>
  </si>
  <si>
    <t>0113101</t>
  </si>
  <si>
    <t xml:space="preserve">CHEIF OFFICER TOWN COMMITTE   </t>
  </si>
  <si>
    <t xml:space="preserve">NEAR TOWN COMMITTE            </t>
  </si>
  <si>
    <t>0178201</t>
  </si>
  <si>
    <t xml:space="preserve">NEAR MURAD JAN TAL MASTUNG    </t>
  </si>
  <si>
    <t>0184001</t>
  </si>
  <si>
    <t>0184002</t>
  </si>
  <si>
    <t xml:space="preserve">NEAR LABORTRY KALAT ROAD      </t>
  </si>
  <si>
    <t>0184003</t>
  </si>
  <si>
    <t>0186801</t>
  </si>
  <si>
    <t xml:space="preserve">SADATH MAHALLAH               </t>
  </si>
  <si>
    <t>0319200</t>
  </si>
  <si>
    <t xml:space="preserve">TEHSIL MUNCIPAL COMMATTE      </t>
  </si>
  <si>
    <t xml:space="preserve">C/O MUHAMMAD IQBAL AZIZ ABAD  </t>
  </si>
  <si>
    <t>0389200</t>
  </si>
  <si>
    <t xml:space="preserve">MUNCIPAL COMMITTE             </t>
  </si>
  <si>
    <t xml:space="preserve">STREET LIGHT MASTUNG          </t>
  </si>
  <si>
    <t xml:space="preserve">KILLS ISHKINA MASTUNG         </t>
  </si>
  <si>
    <t>48312</t>
  </si>
  <si>
    <t>0050501</t>
  </si>
  <si>
    <t xml:space="preserve">DISTRICT  CONCIL              </t>
  </si>
  <si>
    <t xml:space="preserve">OFFICE BABOO MUHALLAH KALAT   </t>
  </si>
  <si>
    <t>0129102</t>
  </si>
  <si>
    <t xml:space="preserve">C R M S BRANCH                </t>
  </si>
  <si>
    <t xml:space="preserve">TOWN COMMITTE                 </t>
  </si>
  <si>
    <t xml:space="preserve">KALAT                         </t>
  </si>
  <si>
    <t>0148300</t>
  </si>
  <si>
    <t xml:space="preserve">KALAT CITY KALAT              </t>
  </si>
  <si>
    <t>0234300</t>
  </si>
  <si>
    <t xml:space="preserve">KILLI KHARDAN KALAT           </t>
  </si>
  <si>
    <t>0234400</t>
  </si>
  <si>
    <t xml:space="preserve">STREET LIGHT KHARDEN          </t>
  </si>
  <si>
    <t xml:space="preserve">KHARDAN KALAT                 </t>
  </si>
  <si>
    <t>0264900</t>
  </si>
  <si>
    <t xml:space="preserve">OCTORAI OFFICE                </t>
  </si>
  <si>
    <t xml:space="preserve">KILLI MANZAI KALAT            </t>
  </si>
  <si>
    <t>0051400</t>
  </si>
  <si>
    <t xml:space="preserve">BABOO MALA KALAT              </t>
  </si>
  <si>
    <t>0113600</t>
  </si>
  <si>
    <t xml:space="preserve">KALAT CITY                    </t>
  </si>
  <si>
    <t>0126600</t>
  </si>
  <si>
    <t xml:space="preserve">K.GHARIB ABAD                 </t>
  </si>
  <si>
    <t>0129100</t>
  </si>
  <si>
    <t xml:space="preserve">CHAIRMAN TOWN COMMITY         </t>
  </si>
  <si>
    <t>48314</t>
  </si>
  <si>
    <t>0025400</t>
  </si>
  <si>
    <t xml:space="preserve">NAZAM                         </t>
  </si>
  <si>
    <t xml:space="preserve">KANAK                         </t>
  </si>
  <si>
    <t>0142200</t>
  </si>
  <si>
    <t xml:space="preserve">NAZIM UNION COUNCIL           </t>
  </si>
  <si>
    <t xml:space="preserve">SHAKH WASIL                   </t>
  </si>
  <si>
    <t xml:space="preserve">0111 </t>
  </si>
  <si>
    <t>0423900</t>
  </si>
  <si>
    <t xml:space="preserve">NAZIM OFFICE                  </t>
  </si>
  <si>
    <t xml:space="preserve">UNION COUNCIL KIRD GAB KANAK  </t>
  </si>
  <si>
    <t>48321</t>
  </si>
  <si>
    <t>0319500</t>
  </si>
  <si>
    <t xml:space="preserve">OFFICE NAZIM                  </t>
  </si>
  <si>
    <t xml:space="preserve">KILLI JAMALDINI               </t>
  </si>
  <si>
    <t xml:space="preserve">NUSKHI                        </t>
  </si>
  <si>
    <t>53513</t>
  </si>
  <si>
    <t>0779100</t>
  </si>
  <si>
    <t xml:space="preserve">CHAIRMAN DIST CONCIL          </t>
  </si>
  <si>
    <t xml:space="preserve">P.A COLONY                    </t>
  </si>
  <si>
    <t>0780800</t>
  </si>
  <si>
    <t xml:space="preserve">NOUSHKI                       </t>
  </si>
  <si>
    <t xml:space="preserve">1210 </t>
  </si>
  <si>
    <t>0774800</t>
  </si>
  <si>
    <t xml:space="preserve">STREET LIGHI                  </t>
  </si>
  <si>
    <t xml:space="preserve">NOSHKI                        </t>
  </si>
  <si>
    <t>53203</t>
  </si>
  <si>
    <t>0776600</t>
  </si>
  <si>
    <t xml:space="preserve">DISTRICT ASSAMBLY HALL        </t>
  </si>
  <si>
    <t xml:space="preserve">NUSHKI                        </t>
  </si>
  <si>
    <t>0780400</t>
  </si>
  <si>
    <t xml:space="preserve">TEHSIL MUNICIPAL OFFICE       </t>
  </si>
  <si>
    <t xml:space="preserve">SCHEEM NOSHKI                 </t>
  </si>
  <si>
    <t>48322</t>
  </si>
  <si>
    <t>0629100</t>
  </si>
  <si>
    <t xml:space="preserve">ADMINISTRATOR TOWN COMMITTEE  </t>
  </si>
  <si>
    <t xml:space="preserve">KHARAN                        </t>
  </si>
  <si>
    <t>53213</t>
  </si>
  <si>
    <t>0629200</t>
  </si>
  <si>
    <t>0631300</t>
  </si>
  <si>
    <t xml:space="preserve">CHAIRMAN OFFICE               </t>
  </si>
  <si>
    <t>53514</t>
  </si>
  <si>
    <t>0632600</t>
  </si>
  <si>
    <t>0632700</t>
  </si>
  <si>
    <t xml:space="preserve">OFFICE TOWN COMMITTEE         </t>
  </si>
  <si>
    <t>0633800</t>
  </si>
  <si>
    <t xml:space="preserve">OFFICE CHAIRMAN DISTRICT      </t>
  </si>
  <si>
    <t xml:space="preserve">COLAN                         </t>
  </si>
  <si>
    <t>0634100</t>
  </si>
  <si>
    <t>0634300</t>
  </si>
  <si>
    <t xml:space="preserve">NUSHKI ROAD                   </t>
  </si>
  <si>
    <t>0626400</t>
  </si>
  <si>
    <t xml:space="preserve">STREET LIGHT KHARAN           </t>
  </si>
  <si>
    <t xml:space="preserve">NEW BAZAR                     </t>
  </si>
  <si>
    <t>0626900</t>
  </si>
  <si>
    <t>48323</t>
  </si>
  <si>
    <t>0571100</t>
  </si>
  <si>
    <t xml:space="preserve">DISTRICT OFFICER OFFICE       </t>
  </si>
  <si>
    <t xml:space="preserve">MASJID ROAD BAZAR             </t>
  </si>
  <si>
    <t xml:space="preserve">DALBANDIN                     </t>
  </si>
  <si>
    <t>0571200</t>
  </si>
  <si>
    <t xml:space="preserve">OFFICE OF THE DISTRICT NAZIM  </t>
  </si>
  <si>
    <t>0573100</t>
  </si>
  <si>
    <t xml:space="preserve">CHAIRMAN TOWN COMMITTE        </t>
  </si>
  <si>
    <t xml:space="preserve">LONDON ROAD D B N             </t>
  </si>
  <si>
    <t>0574400</t>
  </si>
  <si>
    <t xml:space="preserve">GOVT. T.M.O.                  </t>
  </si>
  <si>
    <t>0575002</t>
  </si>
  <si>
    <t xml:space="preserve">TESALL NAZEM OFFICE           </t>
  </si>
  <si>
    <t xml:space="preserve">WASHOK DALBANIDIN             </t>
  </si>
  <si>
    <t xml:space="preserve">DALBADIN                      </t>
  </si>
  <si>
    <t>0581100</t>
  </si>
  <si>
    <t xml:space="preserve">BULDIA REST HOUSE             </t>
  </si>
  <si>
    <t xml:space="preserve">NEW TOWN TAFTAN               </t>
  </si>
  <si>
    <t xml:space="preserve">2602 </t>
  </si>
  <si>
    <t>0581200</t>
  </si>
  <si>
    <t xml:space="preserve">TEHSIL MUNCIPAL OFFICE        </t>
  </si>
  <si>
    <t xml:space="preserve">TAFTAN                        </t>
  </si>
  <si>
    <t>0581300</t>
  </si>
  <si>
    <t xml:space="preserve">DISTRICT ADMN. OFFICER        </t>
  </si>
  <si>
    <t>48324</t>
  </si>
  <si>
    <t>0645200</t>
  </si>
  <si>
    <t xml:space="preserve">NAZIM OFFIC WASHUK            </t>
  </si>
  <si>
    <t xml:space="preserve">NEAR POWER HOUSE WASHUK       </t>
  </si>
  <si>
    <t>0691500</t>
  </si>
  <si>
    <t>OFICE TEHSIL MUNISPAL ADMINSTR</t>
  </si>
  <si>
    <t xml:space="preserve">NEAR LEVIS LINN WASHK KHARAN  </t>
  </si>
  <si>
    <t>48341</t>
  </si>
  <si>
    <t>0687500</t>
  </si>
  <si>
    <t xml:space="preserve">CHAIRMAN MANSPAL COMMETE      </t>
  </si>
  <si>
    <t xml:space="preserve">KZR                           </t>
  </si>
  <si>
    <t>53102</t>
  </si>
  <si>
    <t xml:space="preserve">5310 </t>
  </si>
  <si>
    <t>0320200</t>
  </si>
  <si>
    <t xml:space="preserve">STREET LIGHT TOWN             </t>
  </si>
  <si>
    <t xml:space="preserve">MASJID ROAD KHUZDAR           </t>
  </si>
  <si>
    <t>0356500</t>
  </si>
  <si>
    <t xml:space="preserve">HOSPITAL ROAD KHUZDAR         </t>
  </si>
  <si>
    <t>0356600</t>
  </si>
  <si>
    <t xml:space="preserve">STRET LIGHT TOWN              </t>
  </si>
  <si>
    <t>0382200</t>
  </si>
  <si>
    <t xml:space="preserve">TOWN COMMITTEE                </t>
  </si>
  <si>
    <t xml:space="preserve">TOWN ROAD KHUZDAR             </t>
  </si>
  <si>
    <t>0404300</t>
  </si>
  <si>
    <t xml:space="preserve">JINNAH ROAD KHUZDAR           </t>
  </si>
  <si>
    <t>0404400</t>
  </si>
  <si>
    <t>48342</t>
  </si>
  <si>
    <t>0076800</t>
  </si>
  <si>
    <t xml:space="preserve">STREET LIGHT SORAB KALAT      </t>
  </si>
  <si>
    <t>0088900</t>
  </si>
  <si>
    <t xml:space="preserve">CHAIRMAN                      </t>
  </si>
  <si>
    <t xml:space="preserve">TOWN COMMITTEE SURAB          </t>
  </si>
  <si>
    <t>0089000</t>
  </si>
  <si>
    <t xml:space="preserve">BAZAR SORAB                   </t>
  </si>
  <si>
    <t>0089100</t>
  </si>
  <si>
    <t xml:space="preserve">STREET LIGHT SORAB TOWN       </t>
  </si>
  <si>
    <t>48343</t>
  </si>
  <si>
    <t>0045800</t>
  </si>
  <si>
    <t xml:space="preserve">CHAIR MAN MANSPAL COMM        </t>
  </si>
  <si>
    <t xml:space="preserve">CHAIRMAN MUNSPAL COMMITTE     </t>
  </si>
  <si>
    <t>1752800</t>
  </si>
  <si>
    <t xml:space="preserve">OFFICE OF THE DISTRICT NAZUM  </t>
  </si>
  <si>
    <t xml:space="preserve">AWARAN                        </t>
  </si>
  <si>
    <t xml:space="preserve">AWARAN PANJGOOR               </t>
  </si>
  <si>
    <t>53515</t>
  </si>
  <si>
    <t>1754300</t>
  </si>
  <si>
    <t xml:space="preserve">TAHSIL MUNCIPAL OFFICE        </t>
  </si>
  <si>
    <t xml:space="preserve">HAR BAZAR                     </t>
  </si>
  <si>
    <t>1843700</t>
  </si>
  <si>
    <t xml:space="preserve">MASHKY                        </t>
  </si>
  <si>
    <t xml:space="preserve">PANJGOOR                      </t>
  </si>
  <si>
    <t>1844000</t>
  </si>
  <si>
    <t xml:space="preserve">TEHSIL OFFICE                 </t>
  </si>
  <si>
    <t xml:space="preserve">DISTRICT AWARAN               </t>
  </si>
  <si>
    <t>1844200</t>
  </si>
  <si>
    <t xml:space="preserve">CHAIR MAN                     </t>
  </si>
  <si>
    <t xml:space="preserve">MASHKY PANJGOOR               </t>
  </si>
  <si>
    <t>48411</t>
  </si>
  <si>
    <t>0701900</t>
  </si>
  <si>
    <t xml:space="preserve">C/O CHIEF OFFICE NOOR PUR     </t>
  </si>
  <si>
    <t xml:space="preserve">ROAD SIBI                     </t>
  </si>
  <si>
    <t>0340100</t>
  </si>
  <si>
    <t xml:space="preserve">T.M.O DISTT SIBI              </t>
  </si>
  <si>
    <t xml:space="preserve">JAIL ROAD SIBI                </t>
  </si>
  <si>
    <t>0357801</t>
  </si>
  <si>
    <t xml:space="preserve">PROJECT DIRECTOR DEVELOPMENT  </t>
  </si>
  <si>
    <t xml:space="preserve">AT SIBI                       </t>
  </si>
  <si>
    <t xml:space="preserve">SIBI                          </t>
  </si>
  <si>
    <t>0443200</t>
  </si>
  <si>
    <t xml:space="preserve">RESIDENCY ROAD SIBI           </t>
  </si>
  <si>
    <t>0724300</t>
  </si>
  <si>
    <t xml:space="preserve">C/O STREET LIGHT              </t>
  </si>
  <si>
    <t xml:space="preserve">DISTRICT SIBI                 </t>
  </si>
  <si>
    <t>48412</t>
  </si>
  <si>
    <t>0272000</t>
  </si>
  <si>
    <t xml:space="preserve">CHIEF OFFICER TOWN COMEETE    </t>
  </si>
  <si>
    <t xml:space="preserve">BAHG                          </t>
  </si>
  <si>
    <t>0298300</t>
  </si>
  <si>
    <t xml:space="preserve">T.M.O OFFICE                  </t>
  </si>
  <si>
    <t xml:space="preserve">NEAR HIGH SCHOOL BHAG         </t>
  </si>
  <si>
    <t xml:space="preserve">BHAG                          </t>
  </si>
  <si>
    <t xml:space="preserve">5107 </t>
  </si>
  <si>
    <t>0588902</t>
  </si>
  <si>
    <t xml:space="preserve">DY COMMISSIONAR               </t>
  </si>
  <si>
    <t xml:space="preserve">PUBLIC PARK GANDAWAH TOWN     </t>
  </si>
  <si>
    <t xml:space="preserve">JHAL MAGSI                    </t>
  </si>
  <si>
    <t xml:space="preserve">5117 </t>
  </si>
  <si>
    <t>0646000</t>
  </si>
  <si>
    <t xml:space="preserve">LEHRI                         </t>
  </si>
  <si>
    <t>0646100</t>
  </si>
  <si>
    <t xml:space="preserve">LIGHTING                      </t>
  </si>
  <si>
    <t xml:space="preserve">BAZAR COMMITTEE               </t>
  </si>
  <si>
    <t xml:space="preserve">GANDAWA                       </t>
  </si>
  <si>
    <t>48413</t>
  </si>
  <si>
    <t xml:space="preserve">SUI                           </t>
  </si>
  <si>
    <t>48414</t>
  </si>
  <si>
    <t>0050100</t>
  </si>
  <si>
    <t xml:space="preserve">TWON COMMITTEE OFFICE         </t>
  </si>
  <si>
    <t xml:space="preserve">MACH CITY                     </t>
  </si>
  <si>
    <t>53205</t>
  </si>
  <si>
    <t>0210400</t>
  </si>
  <si>
    <t xml:space="preserve">INDUSTRIAL TOWN COMMITTE      </t>
  </si>
  <si>
    <t xml:space="preserve">MACH SALATAR HOUSE KAKA M.JAN </t>
  </si>
  <si>
    <t xml:space="preserve">WARD MACH                     </t>
  </si>
  <si>
    <t xml:space="preserve">3703 </t>
  </si>
  <si>
    <t>1714000</t>
  </si>
  <si>
    <t xml:space="preserve">T.M.O DHADAR                  </t>
  </si>
  <si>
    <t xml:space="preserve">DHADAR                        </t>
  </si>
  <si>
    <t>1714100</t>
  </si>
  <si>
    <t>0251300</t>
  </si>
  <si>
    <t xml:space="preserve">MACH                          </t>
  </si>
  <si>
    <t xml:space="preserve">BOLAN                         </t>
  </si>
  <si>
    <t>48421</t>
  </si>
  <si>
    <t>53601</t>
  </si>
  <si>
    <t>0214000</t>
  </si>
  <si>
    <t xml:space="preserve">CHAIRMAN MARKEET              </t>
  </si>
  <si>
    <t xml:space="preserve">MANDI D.M JAMALI              </t>
  </si>
  <si>
    <t xml:space="preserve">NASIRABAD                     </t>
  </si>
  <si>
    <t>0214600</t>
  </si>
  <si>
    <t xml:space="preserve">CHAIR MAN MUNCIPAL COMMETT    </t>
  </si>
  <si>
    <t xml:space="preserve">S.NO 3 DARA MURAD JAMALI      </t>
  </si>
  <si>
    <t>53103</t>
  </si>
  <si>
    <t>0283500</t>
  </si>
  <si>
    <t xml:space="preserve">D.M.JAMALI                    </t>
  </si>
  <si>
    <t>53108</t>
  </si>
  <si>
    <t>0286003</t>
  </si>
  <si>
    <t xml:space="preserve">CHEIF OFFCER C/O FAMILY PARK  </t>
  </si>
  <si>
    <t xml:space="preserve">MUNCIPAL COMMITTEE DM.JAMALI  </t>
  </si>
  <si>
    <t xml:space="preserve">NASIR ABAD                    </t>
  </si>
  <si>
    <t>0286301</t>
  </si>
  <si>
    <t xml:space="preserve">MUNCIAL COMMITTEE OFFICE      </t>
  </si>
  <si>
    <t>0286500</t>
  </si>
  <si>
    <t xml:space="preserve">DISTRICT ASSEMBLY HALL        </t>
  </si>
  <si>
    <t xml:space="preserve">NEAR TEHSIL NAZIM OFFICE      </t>
  </si>
  <si>
    <t xml:space="preserve">D.M.JAMLI                     </t>
  </si>
  <si>
    <t>0692000</t>
  </si>
  <si>
    <t>UNION COUNCIL OFFICE VILL KORA</t>
  </si>
  <si>
    <t xml:space="preserve">VILLAGE KORAR                 </t>
  </si>
  <si>
    <t xml:space="preserve">MIR HASSAN D.M.JAMALI         </t>
  </si>
  <si>
    <t>53701</t>
  </si>
  <si>
    <t>0692301</t>
  </si>
  <si>
    <t xml:space="preserve">U.COUNCIL OFFICE              </t>
  </si>
  <si>
    <t xml:space="preserve">V.C.MIR HASSAN                </t>
  </si>
  <si>
    <t>0286200</t>
  </si>
  <si>
    <t xml:space="preserve">MUNISPUL COMMITEE             </t>
  </si>
  <si>
    <t xml:space="preserve">D M JAMALI DIS N ABAD         </t>
  </si>
  <si>
    <t xml:space="preserve">3103 </t>
  </si>
  <si>
    <t>48422</t>
  </si>
  <si>
    <t>0175100</t>
  </si>
  <si>
    <t xml:space="preserve">TOWN COMETEE                  </t>
  </si>
  <si>
    <t xml:space="preserve">USTA MUHAMMAD                 </t>
  </si>
  <si>
    <t xml:space="preserve">DISTRICT JAFARABAD            </t>
  </si>
  <si>
    <t>53208</t>
  </si>
  <si>
    <t xml:space="preserve">1235 </t>
  </si>
  <si>
    <t>0175200</t>
  </si>
  <si>
    <t xml:space="preserve">TOWN COMMITTEE OFFICE         </t>
  </si>
  <si>
    <t xml:space="preserve">JINNAH ROAD USTA MOHAMMAD     </t>
  </si>
  <si>
    <t xml:space="preserve">J.ABAD                        </t>
  </si>
  <si>
    <t xml:space="preserve">5320 </t>
  </si>
  <si>
    <t>0175300</t>
  </si>
  <si>
    <t xml:space="preserve">CHAIRMAN TOWN                 </t>
  </si>
  <si>
    <t>0414303</t>
  </si>
  <si>
    <t xml:space="preserve">CARE TAKER ADMINISTRATOR      </t>
  </si>
  <si>
    <t xml:space="preserve">DY:DIRECTOR MARKET COMMITEE   </t>
  </si>
  <si>
    <t xml:space="preserve">WATER PUMP MIRWAD ROAD USTA M </t>
  </si>
  <si>
    <t>53209</t>
  </si>
  <si>
    <t>0414304</t>
  </si>
  <si>
    <t>DEPUTY DIRECTOR MARKET COMMITT</t>
  </si>
  <si>
    <t xml:space="preserve">-E MIR WAH ROAD USTA MOHAMMAD </t>
  </si>
  <si>
    <t>0414305</t>
  </si>
  <si>
    <t xml:space="preserve">CARE TAKER ADMINSTRATOR       </t>
  </si>
  <si>
    <t xml:space="preserve">FIELD LIGHTS MIRWAH ROAD      </t>
  </si>
  <si>
    <t>0478300</t>
  </si>
  <si>
    <t xml:space="preserve">RESIDENCY                     </t>
  </si>
  <si>
    <t xml:space="preserve">TEHSIL COLONY                 </t>
  </si>
  <si>
    <t>0479000</t>
  </si>
  <si>
    <t xml:space="preserve">FIRE BRIGADE CENTRE           </t>
  </si>
  <si>
    <t xml:space="preserve">DIST JAFFAR ABAD              </t>
  </si>
  <si>
    <t>0479200</t>
  </si>
  <si>
    <t xml:space="preserve">KALAB TOWN COMMITTEE          </t>
  </si>
  <si>
    <t xml:space="preserve">TEHSIL ROAD                   </t>
  </si>
  <si>
    <t xml:space="preserve">USTA MOHAMMAD                 </t>
  </si>
  <si>
    <t xml:space="preserve">1503 </t>
  </si>
  <si>
    <t>0598005</t>
  </si>
  <si>
    <t xml:space="preserve">CHAGI                         </t>
  </si>
  <si>
    <t xml:space="preserve">JHAT PAT ROAD                 </t>
  </si>
  <si>
    <t>1235000</t>
  </si>
  <si>
    <t>OFFICE UNION CONCIL JHAL MAGSI</t>
  </si>
  <si>
    <t xml:space="preserve">DISSTT KACHHI                 </t>
  </si>
  <si>
    <t>1282100</t>
  </si>
  <si>
    <t xml:space="preserve">UNION COUNCAL                 </t>
  </si>
  <si>
    <t xml:space="preserve">V.H. GHULAM QADIR HEJAWANI    </t>
  </si>
  <si>
    <t xml:space="preserve">DISTT.JAFFAR ABAD             </t>
  </si>
  <si>
    <t xml:space="preserve">5370 </t>
  </si>
  <si>
    <t>1282800</t>
  </si>
  <si>
    <t xml:space="preserve">UNION COUNCIAL                </t>
  </si>
  <si>
    <t xml:space="preserve">V.ALI ABAD                    </t>
  </si>
  <si>
    <t>0026370</t>
  </si>
  <si>
    <t xml:space="preserve">TOWN COMMITTEE STREET LIGHT   </t>
  </si>
  <si>
    <t xml:space="preserve">U MUHAMMAD DIS J ABAD         </t>
  </si>
  <si>
    <t xml:space="preserve">3208 </t>
  </si>
  <si>
    <t>48423</t>
  </si>
  <si>
    <t>0176000</t>
  </si>
  <si>
    <t xml:space="preserve">TOWN CAM: OFFICE              </t>
  </si>
  <si>
    <t xml:space="preserve">N.B&amp;R COL: JHAT PAT           </t>
  </si>
  <si>
    <t>0650100</t>
  </si>
  <si>
    <t xml:space="preserve">CHAIRMAN TOWN COMMITTEE       </t>
  </si>
  <si>
    <t xml:space="preserve">GOUSIA MARKET JHAT PAT        </t>
  </si>
  <si>
    <t xml:space="preserve">5330 </t>
  </si>
  <si>
    <t>1110000</t>
  </si>
  <si>
    <t xml:space="preserve">CHUNGI                        </t>
  </si>
  <si>
    <t xml:space="preserve">QTA ROAD JHAT PAT             </t>
  </si>
  <si>
    <t>0169003</t>
  </si>
  <si>
    <t xml:space="preserve">D A YAR                       </t>
  </si>
  <si>
    <t xml:space="preserve">DIS JAFERABAD                 </t>
  </si>
  <si>
    <t xml:space="preserve">3209 </t>
  </si>
  <si>
    <t>48424</t>
  </si>
  <si>
    <t>0803200</t>
  </si>
  <si>
    <t xml:space="preserve">ADMINISTATER TOWN COMMITTE    </t>
  </si>
  <si>
    <t xml:space="preserve">S/PUR                         </t>
  </si>
  <si>
    <t xml:space="preserve">DISTT: J.ABAD                 </t>
  </si>
  <si>
    <t>0803700</t>
  </si>
  <si>
    <t xml:space="preserve">SOHBAT PUR CITY               </t>
  </si>
  <si>
    <t>0807000</t>
  </si>
  <si>
    <t xml:space="preserve">S/PUR CITY                    </t>
  </si>
  <si>
    <t>0864900</t>
  </si>
  <si>
    <t xml:space="preserve">TOWN COMMITTE ADMINISTATER    </t>
  </si>
  <si>
    <t xml:space="preserve">SOBAT PUR                     </t>
  </si>
  <si>
    <t>0803800</t>
  </si>
  <si>
    <t xml:space="preserve">DISTRICT CONCIAL STREET LIGUT </t>
  </si>
  <si>
    <t xml:space="preserve">S PUR                         </t>
  </si>
  <si>
    <t xml:space="preserve">DISTRICT J ABAD               </t>
  </si>
  <si>
    <t xml:space="preserve">3508 </t>
  </si>
  <si>
    <t>48511</t>
  </si>
  <si>
    <t>0135300</t>
  </si>
  <si>
    <t xml:space="preserve">PISHIN MUNCIPAL COMMITTE      </t>
  </si>
  <si>
    <t xml:space="preserve">G.M.RD PISHIN                 </t>
  </si>
  <si>
    <t>53105</t>
  </si>
  <si>
    <t>3309800</t>
  </si>
  <si>
    <t xml:space="preserve">T.M.O.  OFFICE                </t>
  </si>
  <si>
    <t xml:space="preserve">BARSHORE                      </t>
  </si>
  <si>
    <t xml:space="preserve">PISHIN                        </t>
  </si>
  <si>
    <t>0093300</t>
  </si>
  <si>
    <t xml:space="preserve">NEAR METTON MARKET            </t>
  </si>
  <si>
    <t>0108200</t>
  </si>
  <si>
    <t xml:space="preserve">NEAR GIRLS HIGH SCHOOL        </t>
  </si>
  <si>
    <t>0120800</t>
  </si>
  <si>
    <t xml:space="preserve">NEAR POLICE STATION           </t>
  </si>
  <si>
    <t>0124900</t>
  </si>
  <si>
    <t xml:space="preserve">STRITLIT                      </t>
  </si>
  <si>
    <t>0159900</t>
  </si>
  <si>
    <t xml:space="preserve">SATREET LIGHT                 </t>
  </si>
  <si>
    <t>0162400</t>
  </si>
  <si>
    <t xml:space="preserve">GHAR SHINAN ROAD              </t>
  </si>
  <si>
    <t>0182300</t>
  </si>
  <si>
    <t xml:space="preserve">STREET LIGHT PISHIN           </t>
  </si>
  <si>
    <t>0257300</t>
  </si>
  <si>
    <t xml:space="preserve">BARSHOR CHOWK                 </t>
  </si>
  <si>
    <t xml:space="preserve">BUND ROAD                     </t>
  </si>
  <si>
    <t>0314300</t>
  </si>
  <si>
    <t xml:space="preserve">NEAR AZMAT HOTEL              </t>
  </si>
  <si>
    <t xml:space="preserve">BUND ROAD PISHIN              </t>
  </si>
  <si>
    <t>0422300</t>
  </si>
  <si>
    <t>48513</t>
  </si>
  <si>
    <t>0603700</t>
  </si>
  <si>
    <t xml:space="preserve">MOHAMMAD SAEED                </t>
  </si>
  <si>
    <t xml:space="preserve">KHANOZAI                      </t>
  </si>
  <si>
    <t>0665300</t>
  </si>
  <si>
    <t xml:space="preserve">UNION CONCIL                  </t>
  </si>
  <si>
    <t xml:space="preserve">K.ZAI                         </t>
  </si>
  <si>
    <t>0105500</t>
  </si>
  <si>
    <t xml:space="preserve">BAZAR KHNOZAI                 </t>
  </si>
  <si>
    <t>48522</t>
  </si>
  <si>
    <t>0173700</t>
  </si>
  <si>
    <t xml:space="preserve">ADMISNISTATOR                 </t>
  </si>
  <si>
    <t xml:space="preserve">MUNICIPAL COMITTEE  CHAMAN    </t>
  </si>
  <si>
    <t xml:space="preserve">CHAMAN                        </t>
  </si>
  <si>
    <t>0387100</t>
  </si>
  <si>
    <t xml:space="preserve">WATER SUPPLY SCHEEM           </t>
  </si>
  <si>
    <t xml:space="preserve">C/O MAUNCIPAL COMMITTEE       </t>
  </si>
  <si>
    <t>48523</t>
  </si>
  <si>
    <t xml:space="preserve">OFFICE MUNCIPAL COMMITTEE     </t>
  </si>
  <si>
    <t xml:space="preserve">R.RD CHAMAN                   </t>
  </si>
  <si>
    <t>0172200</t>
  </si>
  <si>
    <t xml:space="preserve">CITY STREETS LIGHT            </t>
  </si>
  <si>
    <t xml:space="preserve">POWER HOUSE RD CHAMAN         </t>
  </si>
  <si>
    <t>0172300</t>
  </si>
  <si>
    <t>0172400</t>
  </si>
  <si>
    <t xml:space="preserve">AD MINISTRATOR                </t>
  </si>
  <si>
    <t xml:space="preserve">COMMEETTEE                    </t>
  </si>
  <si>
    <t>0172500</t>
  </si>
  <si>
    <t xml:space="preserve">COMETTEE                      </t>
  </si>
  <si>
    <t>0172600</t>
  </si>
  <si>
    <t>0173500</t>
  </si>
  <si>
    <t xml:space="preserve">COMATTEE                      </t>
  </si>
  <si>
    <t>0173600</t>
  </si>
  <si>
    <t>0173800</t>
  </si>
  <si>
    <t>0403201</t>
  </si>
  <si>
    <t xml:space="preserve">MAYOR MUNCIPAL CARPORATION    </t>
  </si>
  <si>
    <t xml:space="preserve">TAJROAD                       </t>
  </si>
  <si>
    <t>0403202</t>
  </si>
  <si>
    <t xml:space="preserve">MALL ROAD                     </t>
  </si>
  <si>
    <t>0403203</t>
  </si>
  <si>
    <t xml:space="preserve">TRANCH ROAD                   </t>
  </si>
  <si>
    <t>48611</t>
  </si>
  <si>
    <t>0549910</t>
  </si>
  <si>
    <t xml:space="preserve">CHAIR MAN TOWN COMMITY        </t>
  </si>
  <si>
    <t xml:space="preserve">TURBAT                        </t>
  </si>
  <si>
    <t>53215</t>
  </si>
  <si>
    <t>0639900</t>
  </si>
  <si>
    <t xml:space="preserve">TOWN COMMITY                  </t>
  </si>
  <si>
    <t>0640000</t>
  </si>
  <si>
    <t>0642300</t>
  </si>
  <si>
    <t xml:space="preserve">CHILDRAN PARK                 </t>
  </si>
  <si>
    <t xml:space="preserve">MUNICIPLE COMMITTE            </t>
  </si>
  <si>
    <t>0644100</t>
  </si>
  <si>
    <t>0644404</t>
  </si>
  <si>
    <t xml:space="preserve">CHAIRMAIN ZILLAH COUNCIL      </t>
  </si>
  <si>
    <t xml:space="preserve">NEAR COMMISSIONER OFFICE      </t>
  </si>
  <si>
    <t>53516</t>
  </si>
  <si>
    <t>0645510</t>
  </si>
  <si>
    <t xml:space="preserve">REST HOUSE &amp; OFFICER CLUB     </t>
  </si>
  <si>
    <t xml:space="preserve">DISTRICT COUUNCIL KECH        </t>
  </si>
  <si>
    <t>1132800</t>
  </si>
  <si>
    <t xml:space="preserve">PURANA MIAN CHOWK             </t>
  </si>
  <si>
    <t>1132900</t>
  </si>
  <si>
    <t xml:space="preserve">MIAN CHOWK                    </t>
  </si>
  <si>
    <t>1133000</t>
  </si>
  <si>
    <t xml:space="preserve">COMMISSIONER CHOWK            </t>
  </si>
  <si>
    <t xml:space="preserve">S. LIGHT TURBAT               </t>
  </si>
  <si>
    <t>1133100</t>
  </si>
  <si>
    <t xml:space="preserve">FISH MARKET CHOWK             </t>
  </si>
  <si>
    <t>1133300</t>
  </si>
  <si>
    <t xml:space="preserve">HOSPITAL CHOWK                </t>
  </si>
  <si>
    <t>1133400</t>
  </si>
  <si>
    <t xml:space="preserve">CINEMA CHOWK                  </t>
  </si>
  <si>
    <t>1135300</t>
  </si>
  <si>
    <t>1644100</t>
  </si>
  <si>
    <t xml:space="preserve">ADMINISTRATOR UNION COUNCIL   </t>
  </si>
  <si>
    <t xml:space="preserve">HOSHAB                        </t>
  </si>
  <si>
    <t xml:space="preserve">TRUBAT                        </t>
  </si>
  <si>
    <t>1816400</t>
  </si>
  <si>
    <t xml:space="preserve">MEZAN BULLEDA                 </t>
  </si>
  <si>
    <t>0040050</t>
  </si>
  <si>
    <t xml:space="preserve">COMITTEE CHOWK                </t>
  </si>
  <si>
    <t>0040100</t>
  </si>
  <si>
    <t>0759400</t>
  </si>
  <si>
    <t>0759600</t>
  </si>
  <si>
    <t>0759700</t>
  </si>
  <si>
    <t>0759900</t>
  </si>
  <si>
    <t xml:space="preserve">MAIN CHOWK                    </t>
  </si>
  <si>
    <t>0760000</t>
  </si>
  <si>
    <t xml:space="preserve">PURANA CHOWK                  </t>
  </si>
  <si>
    <t>0760300</t>
  </si>
  <si>
    <t>0639800</t>
  </si>
  <si>
    <t xml:space="preserve">TOWN COMMEITY                 </t>
  </si>
  <si>
    <t>0647110</t>
  </si>
  <si>
    <t xml:space="preserve">CHIEF OFFICER MUNICIPAL CORP  </t>
  </si>
  <si>
    <t xml:space="preserve">STRT LIGHT                    </t>
  </si>
  <si>
    <t>0647111</t>
  </si>
  <si>
    <t xml:space="preserve">STRT CHOWK                    </t>
  </si>
  <si>
    <t>0647120</t>
  </si>
  <si>
    <t xml:space="preserve">SHOP STRT LIGHT               </t>
  </si>
  <si>
    <t>0647130</t>
  </si>
  <si>
    <t>0647140</t>
  </si>
  <si>
    <t>0647150</t>
  </si>
  <si>
    <t>0647160</t>
  </si>
  <si>
    <t xml:space="preserve">CHIEF OFFICER MUNICIPAL       </t>
  </si>
  <si>
    <t>0647170</t>
  </si>
  <si>
    <t xml:space="preserve">STRT LIGHT CIRCUIT HOUSE      </t>
  </si>
  <si>
    <t>0647180</t>
  </si>
  <si>
    <t xml:space="preserve">OVERSEAS STRT LIGHT           </t>
  </si>
  <si>
    <t>0647190</t>
  </si>
  <si>
    <t>0757600</t>
  </si>
  <si>
    <t xml:space="preserve">THE MUNCIPAL OFFICER          </t>
  </si>
  <si>
    <t xml:space="preserve">GHULAM NABI TO NBP TURBAT     </t>
  </si>
  <si>
    <t>0757910</t>
  </si>
  <si>
    <t xml:space="preserve">MAIN ROAD OBSAR               </t>
  </si>
  <si>
    <t>0760100</t>
  </si>
  <si>
    <t>MAIN CHOWK TO CINEMA</t>
  </si>
  <si>
    <t>TURBAT</t>
  </si>
  <si>
    <t>1990820</t>
  </si>
  <si>
    <t xml:space="preserve">KECH FOOT BALL STUDIAM        </t>
  </si>
  <si>
    <t xml:space="preserve">AIR PORT ROAD                 </t>
  </si>
  <si>
    <t xml:space="preserve">3104 </t>
  </si>
  <si>
    <t>48612</t>
  </si>
  <si>
    <t>1554400</t>
  </si>
  <si>
    <t xml:space="preserve">PANJGUR OFFICER CULB          </t>
  </si>
  <si>
    <t xml:space="preserve">COLLEGE ROAD PJR              </t>
  </si>
  <si>
    <t>53214</t>
  </si>
  <si>
    <t>1558900</t>
  </si>
  <si>
    <t xml:space="preserve">CHITKAN                       </t>
  </si>
  <si>
    <t>1561500</t>
  </si>
  <si>
    <t xml:space="preserve">DISTRICT COUNCIL PANJGOOR     </t>
  </si>
  <si>
    <t xml:space="preserve">NEAR D.C OFFICE OFFICE        </t>
  </si>
  <si>
    <t xml:space="preserve">CHITKAN PANJGOOR              </t>
  </si>
  <si>
    <t>1562800</t>
  </si>
  <si>
    <t>1571100</t>
  </si>
  <si>
    <t xml:space="preserve">NAZUM                         </t>
  </si>
  <si>
    <t xml:space="preserve">GRAMKAN                       </t>
  </si>
  <si>
    <t>0006111</t>
  </si>
  <si>
    <t>1558800</t>
  </si>
  <si>
    <t xml:space="preserve">PANJGOOR TOWN COMMITTE        </t>
  </si>
  <si>
    <t xml:space="preserve">NEAR OLD POLICE STATION BAZAR </t>
  </si>
  <si>
    <t>48621</t>
  </si>
  <si>
    <t>0054900</t>
  </si>
  <si>
    <t>TRAFFIC SIGNAL LIGHT</t>
  </si>
  <si>
    <t>ZAHOOR SHAH ROAD</t>
  </si>
  <si>
    <t>GWADAR</t>
  </si>
  <si>
    <t>53216</t>
  </si>
  <si>
    <t>06704</t>
  </si>
  <si>
    <t>0566100</t>
  </si>
  <si>
    <t xml:space="preserve">MUNCIPILATY OFFICER           </t>
  </si>
  <si>
    <t xml:space="preserve">CAPT: MURAD BUKSH SHAH WARD   </t>
  </si>
  <si>
    <t xml:space="preserve">GWADER                        </t>
  </si>
  <si>
    <t>0581335</t>
  </si>
  <si>
    <t>PADI ZER</t>
  </si>
  <si>
    <t>1557250</t>
  </si>
  <si>
    <t xml:space="preserve">SOUTHERN UNION COUNSIL        </t>
  </si>
  <si>
    <t xml:space="preserve">GAWADER                       </t>
  </si>
  <si>
    <t>53517</t>
  </si>
  <si>
    <t>1561000</t>
  </si>
  <si>
    <t xml:space="preserve">DISTRICT NAZIM                </t>
  </si>
  <si>
    <t xml:space="preserve">GWADAR                        </t>
  </si>
  <si>
    <t>1562300</t>
  </si>
  <si>
    <t xml:space="preserve">MUNCIPLATY CHIEF OFFICE       </t>
  </si>
  <si>
    <t xml:space="preserve">ZAHOOR SHAH WARD              </t>
  </si>
  <si>
    <t>1564300</t>
  </si>
  <si>
    <t>1566200</t>
  </si>
  <si>
    <t>STREET  LIGHT MUNCIPAL COMMITE</t>
  </si>
  <si>
    <t>0013794</t>
  </si>
  <si>
    <t>1587600</t>
  </si>
  <si>
    <t xml:space="preserve">NEAR B&amp;R COLONY               </t>
  </si>
  <si>
    <t>1589800</t>
  </si>
  <si>
    <t xml:space="preserve">NEAR BILAI MASJID HAJI SHAM   </t>
  </si>
  <si>
    <t xml:space="preserve">BAY HOUSE GAWADER             </t>
  </si>
  <si>
    <t>1590000</t>
  </si>
  <si>
    <t xml:space="preserve">NEAR ASKARY BANK              </t>
  </si>
  <si>
    <t>1590100</t>
  </si>
  <si>
    <t>NEAR UNION COUNCIL FAZAL CHOWK</t>
  </si>
  <si>
    <t>1590200</t>
  </si>
  <si>
    <t xml:space="preserve">NEAR QESCO OFFICE             </t>
  </si>
  <si>
    <t xml:space="preserve">GAWADAR                       </t>
  </si>
  <si>
    <t>1632750</t>
  </si>
  <si>
    <t>R.J.B LIGHTS</t>
  </si>
  <si>
    <t>WARD GAWADAR</t>
  </si>
  <si>
    <t>GAWADAR</t>
  </si>
  <si>
    <t>48622</t>
  </si>
  <si>
    <t>1579000</t>
  </si>
  <si>
    <t xml:space="preserve">NALANT                        </t>
  </si>
  <si>
    <t>48623</t>
  </si>
  <si>
    <t>0166400</t>
  </si>
  <si>
    <t xml:space="preserve">ADMINSTATAR                   </t>
  </si>
  <si>
    <t xml:space="preserve">HOUSE TWON COMMATTE           </t>
  </si>
  <si>
    <t xml:space="preserve">PASNI                         </t>
  </si>
  <si>
    <t>1238105</t>
  </si>
  <si>
    <t>ADMINISTRATION MUNICIPAL COMMI</t>
  </si>
  <si>
    <t xml:space="preserve">DURIJEE                       </t>
  </si>
  <si>
    <t>1573200</t>
  </si>
  <si>
    <t xml:space="preserve">METER NO.2                    </t>
  </si>
  <si>
    <t>1573400</t>
  </si>
  <si>
    <t xml:space="preserve">METER NO.1                    </t>
  </si>
  <si>
    <t>1573500</t>
  </si>
  <si>
    <t xml:space="preserve">CHAIR MAIN TOWN               </t>
  </si>
  <si>
    <t>1573600</t>
  </si>
  <si>
    <t xml:space="preserve">TOWN CLUB                     </t>
  </si>
  <si>
    <t>1580000</t>
  </si>
  <si>
    <t xml:space="preserve">SECRETARY                     </t>
  </si>
  <si>
    <t xml:space="preserve">NEAR TEHSEL PARA ORMARA       </t>
  </si>
  <si>
    <t>1582100</t>
  </si>
  <si>
    <t xml:space="preserve">BALDIA                        </t>
  </si>
  <si>
    <t xml:space="preserve">VILLAGE DURAGEE               </t>
  </si>
  <si>
    <t>1582400</t>
  </si>
  <si>
    <t xml:space="preserve">MUNICIPAL LIBRARY             </t>
  </si>
  <si>
    <t xml:space="preserve">DUREJI                        </t>
  </si>
  <si>
    <t>1582600</t>
  </si>
  <si>
    <t xml:space="preserve">PUMPING AND PUBLIC PARK       </t>
  </si>
  <si>
    <t xml:space="preserve">DUREGEE                       </t>
  </si>
  <si>
    <t>1600030</t>
  </si>
  <si>
    <t xml:space="preserve">METER NO.3                    </t>
  </si>
  <si>
    <t>1600060</t>
  </si>
  <si>
    <t xml:space="preserve">GOVT CLUB                     </t>
  </si>
  <si>
    <t xml:space="preserve">NEARLY OF FOOTBAL GROUND      </t>
  </si>
  <si>
    <t xml:space="preserve">ORMARA                        </t>
  </si>
  <si>
    <t>1582500</t>
  </si>
  <si>
    <t xml:space="preserve">WATER FALL AND FOUNTAIN       </t>
  </si>
  <si>
    <t xml:space="preserve">PUBLIC PARK DUREJI TOWN       </t>
  </si>
  <si>
    <t>1591800</t>
  </si>
  <si>
    <t>1591900</t>
  </si>
  <si>
    <t>1592000</t>
  </si>
  <si>
    <t>1592400</t>
  </si>
  <si>
    <t>1567300</t>
  </si>
  <si>
    <t xml:space="preserve">PUMPING AND STREET LIGHT      </t>
  </si>
  <si>
    <t xml:space="preserve">PUBLIC PARK                   </t>
  </si>
  <si>
    <t>select G.BILLMONTH,G.BATCHNO,G.SDIVCODE,G.CONSNO, G.NAME, G.ADDR1,G.ADDR2, G.TARIFFCODE, B.SAN_LOAD ,G.OP_BAL,G.ASSESSMENT_AMNT,G.PAYMENT_NOR, G.ADJUSTOR,G.SURLEVIED,G.TOTAL_CL_BAL, G.GVTDEPTCODE1 || G.GVTDEPTCODE2 DEPT_CODE,
(CASE WHEN B.DFL_DISC_STATUS = 'M' THEN 'PDISC' ELSE 'RUNN' END) STATUS, c.STD_CLSF_CD 
from PITC.VW_GASS G , DISCO.BILLING_INFO B, DISCO.CONSUMER_INFO c
WHERE G.APPLICATION_NO = B.APPLICATION_NO and G.APPLICATION_NO = c.APPLICATION_NO
AND G.BILLMONTH = B.B_PERIOD
AND G.GVTDEPTCODE1 = '53' AND G.GVTDEPTCODE2 in 
(
'011',
'101',
'102',
'103',
'104',
'105',
'106',
'108',
'201',
'202',
'203',
'205',
'208',
'209',
'213',
'214',
'215',
'216',
'219',
'220',
'221',
'513',
'514',
'515',
'516',
'517',
'601',
'701'
)
AND G.BILLMONTH = '01-DEC-23'
ORDER BY G.SDIVCODE, G.BATCHNO, G.CONSNO</t>
  </si>
  <si>
    <t>MATCH</t>
  </si>
  <si>
    <t>NOT MATCH</t>
  </si>
  <si>
    <t>TOTAL</t>
  </si>
  <si>
    <t>ALL</t>
  </si>
  <si>
    <t>ACCURCY</t>
  </si>
  <si>
    <t>0560601</t>
  </si>
  <si>
    <t>SECRETRY VC-51</t>
  </si>
  <si>
    <t>METRO POLITAN CORPORATION</t>
  </si>
  <si>
    <t>0138802</t>
  </si>
  <si>
    <t xml:space="preserve">A.E.BDA                       </t>
  </si>
  <si>
    <t xml:space="preserve">SUMP NEAR PRIMARY SCHOOL      </t>
  </si>
  <si>
    <t>07620</t>
  </si>
  <si>
    <t>0138803</t>
  </si>
  <si>
    <t xml:space="preserve">A.ENG:BDA SUMP                </t>
  </si>
  <si>
    <t xml:space="preserve">NEAR CIVIL HOSPITAL           </t>
  </si>
  <si>
    <t>0025704</t>
  </si>
  <si>
    <t>METROPOLITAN CORPORATION</t>
  </si>
  <si>
    <t>SADIQ SHAHEED PARK</t>
  </si>
  <si>
    <t>MECONGY ROAD QTA</t>
  </si>
  <si>
    <t>01713</t>
  </si>
  <si>
    <t>0033700</t>
  </si>
  <si>
    <t xml:space="preserve">OFFICE UNION CONCAL           </t>
  </si>
  <si>
    <t xml:space="preserve">HALQA  NO.16 ALAMDAR ROAD     </t>
  </si>
  <si>
    <t xml:space="preserve">NASIR ABAD QUETTA             </t>
  </si>
  <si>
    <t>0951001</t>
  </si>
  <si>
    <t>DEPUTY DIRECTOR FIRE OFFICER</t>
  </si>
  <si>
    <t>POLITON CORPORATION NEAR BY</t>
  </si>
  <si>
    <t>KARACHI STOP HAZAR GANJI QTA</t>
  </si>
  <si>
    <t>0308000</t>
  </si>
  <si>
    <t xml:space="preserve">KILLI JUMMA NO 01            </t>
  </si>
  <si>
    <t xml:space="preserve">KILLI JUMA KHAN NO 2         </t>
  </si>
</sst>
</file>

<file path=xl/styles.xml><?xml version="1.0" encoding="utf-8"?>
<styleSheet xmlns="http://schemas.openxmlformats.org/spreadsheetml/2006/main">
  <numFmts count="1">
    <numFmt numFmtId="164" formatCode="m/d/yyyy"/>
  </numFmts>
  <fonts count="3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486"/>
  <sheetViews>
    <sheetView tabSelected="1" workbookViewId="0">
      <pane ySplit="1" topLeftCell="A452" activePane="bottomLeft" state="frozen"/>
      <selection pane="bottomLeft" activeCell="A2" sqref="A2:R485"/>
    </sheetView>
  </sheetViews>
  <sheetFormatPr defaultRowHeight="15"/>
  <cols>
    <col min="1" max="1" width="11.7109375" customWidth="1"/>
    <col min="4" max="18" width="9.1406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1389</v>
      </c>
      <c r="T1" s="1" t="s">
        <v>1390</v>
      </c>
      <c r="U1" s="1" t="s">
        <v>1391</v>
      </c>
      <c r="V1" s="1" t="s">
        <v>26</v>
      </c>
      <c r="W1" s="1" t="s">
        <v>1392</v>
      </c>
      <c r="X1" s="4" t="s">
        <v>1393</v>
      </c>
    </row>
    <row r="2" spans="1:24">
      <c r="A2" s="6">
        <v>46054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2">
        <v>22.38</v>
      </c>
      <c r="J2" s="2">
        <v>-228477</v>
      </c>
      <c r="K2" s="2">
        <v>0</v>
      </c>
      <c r="L2" s="2">
        <v>0</v>
      </c>
      <c r="M2" s="2">
        <v>0</v>
      </c>
      <c r="N2" s="2">
        <v>0</v>
      </c>
      <c r="O2" s="2">
        <v>-228477</v>
      </c>
      <c r="P2" s="1" t="s">
        <v>25</v>
      </c>
      <c r="Q2" s="1" t="s">
        <v>26</v>
      </c>
      <c r="R2" s="1" t="s">
        <v>27</v>
      </c>
      <c r="S2" s="1">
        <v>0</v>
      </c>
      <c r="T2" s="1">
        <v>0</v>
      </c>
      <c r="U2" s="1">
        <f t="shared" ref="U2" si="0">T2+S2</f>
        <v>0</v>
      </c>
      <c r="V2" s="1">
        <v>1</v>
      </c>
      <c r="W2" s="1">
        <f t="shared" ref="W2:W65" si="1">V2+U2</f>
        <v>1</v>
      </c>
      <c r="X2" s="5" t="e">
        <f t="shared" ref="X2:X64" si="2">100/U2*S2</f>
        <v>#DIV/0!</v>
      </c>
    </row>
    <row r="3" spans="1:24">
      <c r="A3" s="6">
        <v>46054</v>
      </c>
      <c r="B3" s="1" t="s">
        <v>18</v>
      </c>
      <c r="C3" s="1" t="s">
        <v>19</v>
      </c>
      <c r="D3" s="1" t="s">
        <v>28</v>
      </c>
      <c r="E3" s="1" t="s">
        <v>29</v>
      </c>
      <c r="F3" s="1" t="s">
        <v>30</v>
      </c>
      <c r="G3" s="1"/>
      <c r="H3" s="1" t="s">
        <v>24</v>
      </c>
      <c r="I3" s="2">
        <v>4.5</v>
      </c>
      <c r="J3" s="2">
        <v>11</v>
      </c>
      <c r="K3" s="2">
        <v>0</v>
      </c>
      <c r="L3" s="2">
        <v>0</v>
      </c>
      <c r="M3" s="2">
        <v>0</v>
      </c>
      <c r="N3" s="2">
        <v>0</v>
      </c>
      <c r="O3" s="2">
        <v>11</v>
      </c>
      <c r="P3" s="1" t="s">
        <v>25</v>
      </c>
      <c r="Q3" s="1" t="s">
        <v>26</v>
      </c>
      <c r="R3" s="1" t="s">
        <v>27</v>
      </c>
      <c r="S3" s="1">
        <v>0</v>
      </c>
      <c r="T3" s="1">
        <v>0</v>
      </c>
      <c r="U3" s="1">
        <f t="shared" ref="U3:U4" si="3">T3+S3</f>
        <v>0</v>
      </c>
      <c r="V3" s="1">
        <v>1</v>
      </c>
      <c r="W3" s="1">
        <f t="shared" si="1"/>
        <v>1</v>
      </c>
      <c r="X3" s="5" t="e">
        <f t="shared" si="2"/>
        <v>#DIV/0!</v>
      </c>
    </row>
    <row r="4" spans="1:24">
      <c r="A4" s="6">
        <v>46054</v>
      </c>
      <c r="B4" s="1" t="s">
        <v>18</v>
      </c>
      <c r="C4" s="1" t="s">
        <v>19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24</v>
      </c>
      <c r="I4" s="2">
        <v>6</v>
      </c>
      <c r="J4" s="2">
        <v>896677</v>
      </c>
      <c r="K4" s="2">
        <v>63173</v>
      </c>
      <c r="L4" s="2">
        <v>0</v>
      </c>
      <c r="M4" s="2">
        <v>0</v>
      </c>
      <c r="N4" s="2">
        <v>1952</v>
      </c>
      <c r="O4" s="2">
        <v>961802</v>
      </c>
      <c r="P4" s="1" t="s">
        <v>25</v>
      </c>
      <c r="Q4" s="1" t="s">
        <v>35</v>
      </c>
      <c r="R4" s="1" t="s">
        <v>36</v>
      </c>
      <c r="S4" s="1">
        <v>0</v>
      </c>
      <c r="T4" s="1">
        <v>0</v>
      </c>
      <c r="U4" s="1">
        <f t="shared" si="3"/>
        <v>0</v>
      </c>
      <c r="V4" s="1">
        <v>1</v>
      </c>
      <c r="W4" s="1">
        <f t="shared" si="1"/>
        <v>1</v>
      </c>
      <c r="X4" s="5" t="e">
        <f t="shared" si="2"/>
        <v>#DIV/0!</v>
      </c>
    </row>
    <row r="5" spans="1:24">
      <c r="A5" s="6">
        <v>46054</v>
      </c>
      <c r="B5" s="1" t="s">
        <v>18</v>
      </c>
      <c r="C5" s="1" t="s">
        <v>19</v>
      </c>
      <c r="D5" s="1" t="s">
        <v>37</v>
      </c>
      <c r="E5" s="1" t="s">
        <v>38</v>
      </c>
      <c r="F5" s="1" t="s">
        <v>39</v>
      </c>
      <c r="G5" s="1" t="s">
        <v>34</v>
      </c>
      <c r="H5" s="1" t="s">
        <v>24</v>
      </c>
      <c r="I5" s="2">
        <v>2</v>
      </c>
      <c r="J5" s="2">
        <v>138827</v>
      </c>
      <c r="K5" s="2">
        <v>12065</v>
      </c>
      <c r="L5" s="2">
        <v>0</v>
      </c>
      <c r="M5" s="2">
        <v>0</v>
      </c>
      <c r="N5" s="2">
        <v>304</v>
      </c>
      <c r="O5" s="2">
        <v>151196</v>
      </c>
      <c r="P5" s="1" t="s">
        <v>25</v>
      </c>
      <c r="Q5" s="1" t="s">
        <v>35</v>
      </c>
      <c r="R5" s="1" t="s">
        <v>27</v>
      </c>
      <c r="S5" s="1">
        <v>0</v>
      </c>
      <c r="T5" s="1">
        <v>1</v>
      </c>
      <c r="U5" s="1">
        <f t="shared" ref="U5:U65" si="4">T5+S5</f>
        <v>1</v>
      </c>
      <c r="V5" s="1">
        <v>0</v>
      </c>
      <c r="W5" s="1">
        <f t="shared" si="1"/>
        <v>1</v>
      </c>
      <c r="X5" s="5">
        <f t="shared" si="2"/>
        <v>0</v>
      </c>
    </row>
    <row r="6" spans="1:24">
      <c r="A6" s="6">
        <v>46054</v>
      </c>
      <c r="B6" s="1" t="s">
        <v>18</v>
      </c>
      <c r="C6" s="1" t="s">
        <v>19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24</v>
      </c>
      <c r="I6" s="2">
        <v>2</v>
      </c>
      <c r="J6" s="2">
        <v>342766</v>
      </c>
      <c r="K6" s="2">
        <v>53830</v>
      </c>
      <c r="L6" s="2">
        <v>0</v>
      </c>
      <c r="M6" s="2">
        <v>0</v>
      </c>
      <c r="N6" s="2">
        <v>3936</v>
      </c>
      <c r="O6" s="2">
        <v>400532</v>
      </c>
      <c r="P6" s="1" t="s">
        <v>25</v>
      </c>
      <c r="Q6" s="1" t="s">
        <v>35</v>
      </c>
      <c r="R6" s="1" t="s">
        <v>44</v>
      </c>
      <c r="S6" s="1">
        <v>0</v>
      </c>
      <c r="T6" s="1">
        <v>1</v>
      </c>
      <c r="U6" s="1">
        <f t="shared" si="4"/>
        <v>1</v>
      </c>
      <c r="V6" s="1">
        <v>0</v>
      </c>
      <c r="W6" s="1">
        <f t="shared" si="1"/>
        <v>1</v>
      </c>
      <c r="X6" s="5">
        <f t="shared" si="2"/>
        <v>0</v>
      </c>
    </row>
    <row r="7" spans="1:24" ht="15" customHeight="1">
      <c r="A7" s="6">
        <v>46054</v>
      </c>
      <c r="B7" s="1" t="s">
        <v>18</v>
      </c>
      <c r="C7" s="1" t="s">
        <v>19</v>
      </c>
      <c r="D7" s="1" t="s">
        <v>45</v>
      </c>
      <c r="E7" s="1" t="s">
        <v>46</v>
      </c>
      <c r="F7" s="1" t="s">
        <v>47</v>
      </c>
      <c r="G7" s="1"/>
      <c r="H7" s="1" t="s">
        <v>24</v>
      </c>
      <c r="I7" s="2">
        <v>1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1" t="s">
        <v>25</v>
      </c>
      <c r="Q7" s="1" t="s">
        <v>26</v>
      </c>
      <c r="R7" s="1" t="s">
        <v>48</v>
      </c>
      <c r="S7" s="1">
        <v>0</v>
      </c>
      <c r="T7" s="1">
        <v>1</v>
      </c>
      <c r="U7" s="1">
        <f t="shared" si="4"/>
        <v>1</v>
      </c>
      <c r="V7" s="1">
        <v>0</v>
      </c>
      <c r="W7" s="1">
        <f t="shared" si="1"/>
        <v>1</v>
      </c>
      <c r="X7" s="5">
        <f t="shared" si="2"/>
        <v>0</v>
      </c>
    </row>
    <row r="8" spans="1:24" ht="15" customHeight="1">
      <c r="A8" s="6">
        <v>46054</v>
      </c>
      <c r="B8" s="1" t="s">
        <v>49</v>
      </c>
      <c r="C8" s="1" t="s">
        <v>19</v>
      </c>
      <c r="D8" s="1" t="s">
        <v>50</v>
      </c>
      <c r="E8" s="1" t="s">
        <v>51</v>
      </c>
      <c r="F8" s="1" t="s">
        <v>52</v>
      </c>
      <c r="G8" s="1" t="s">
        <v>53</v>
      </c>
      <c r="H8" s="1" t="s">
        <v>54</v>
      </c>
      <c r="I8" s="2">
        <v>6.5</v>
      </c>
      <c r="J8" s="2">
        <v>1</v>
      </c>
      <c r="K8" s="2">
        <v>0</v>
      </c>
      <c r="L8" s="2">
        <v>0</v>
      </c>
      <c r="M8" s="2">
        <v>0</v>
      </c>
      <c r="N8" s="2">
        <v>0</v>
      </c>
      <c r="O8" s="2">
        <v>1</v>
      </c>
      <c r="P8" s="1" t="s">
        <v>25</v>
      </c>
      <c r="Q8" s="1" t="s">
        <v>26</v>
      </c>
      <c r="R8" s="1" t="s">
        <v>55</v>
      </c>
      <c r="S8" s="1">
        <v>0</v>
      </c>
      <c r="T8" s="1">
        <v>0</v>
      </c>
      <c r="U8" s="1">
        <f t="shared" si="4"/>
        <v>0</v>
      </c>
      <c r="V8" s="1">
        <v>1</v>
      </c>
      <c r="W8" s="1">
        <f t="shared" si="1"/>
        <v>1</v>
      </c>
      <c r="X8" s="5" t="e">
        <f t="shared" si="2"/>
        <v>#DIV/0!</v>
      </c>
    </row>
    <row r="9" spans="1:24" ht="15" customHeight="1">
      <c r="A9" s="6">
        <v>46054</v>
      </c>
      <c r="B9" s="1" t="s">
        <v>56</v>
      </c>
      <c r="C9" s="1" t="s">
        <v>19</v>
      </c>
      <c r="D9" s="1" t="s">
        <v>57</v>
      </c>
      <c r="E9" s="1" t="s">
        <v>58</v>
      </c>
      <c r="F9" s="1" t="s">
        <v>59</v>
      </c>
      <c r="G9" s="1" t="s">
        <v>34</v>
      </c>
      <c r="H9" s="1" t="s">
        <v>60</v>
      </c>
      <c r="I9" s="2">
        <v>6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1" t="s">
        <v>25</v>
      </c>
      <c r="Q9" s="1" t="s">
        <v>26</v>
      </c>
      <c r="R9" s="1" t="s">
        <v>27</v>
      </c>
      <c r="S9" s="1">
        <v>0</v>
      </c>
      <c r="T9" s="1">
        <v>0</v>
      </c>
      <c r="U9" s="1">
        <f t="shared" si="4"/>
        <v>0</v>
      </c>
      <c r="V9" s="1">
        <v>1</v>
      </c>
      <c r="W9" s="1">
        <f t="shared" si="1"/>
        <v>1</v>
      </c>
      <c r="X9" s="5" t="e">
        <f t="shared" si="2"/>
        <v>#DIV/0!</v>
      </c>
    </row>
    <row r="10" spans="1:24">
      <c r="A10" s="6">
        <v>46054</v>
      </c>
      <c r="B10" s="1" t="s">
        <v>61</v>
      </c>
      <c r="C10" s="1" t="s">
        <v>19</v>
      </c>
      <c r="D10" s="1" t="s">
        <v>62</v>
      </c>
      <c r="E10" s="1" t="s">
        <v>63</v>
      </c>
      <c r="F10" s="1" t="s">
        <v>64</v>
      </c>
      <c r="G10" s="1" t="s">
        <v>65</v>
      </c>
      <c r="H10" s="1" t="s">
        <v>54</v>
      </c>
      <c r="I10" s="2">
        <v>4.8899999999999997</v>
      </c>
      <c r="J10" s="2">
        <v>7495473</v>
      </c>
      <c r="K10" s="2">
        <v>151647.67000000001</v>
      </c>
      <c r="L10" s="2">
        <v>0</v>
      </c>
      <c r="M10" s="2">
        <v>0</v>
      </c>
      <c r="N10" s="2">
        <v>1464</v>
      </c>
      <c r="O10" s="2">
        <v>7648584.6699999999</v>
      </c>
      <c r="P10" s="1" t="s">
        <v>25</v>
      </c>
      <c r="Q10" s="1" t="s">
        <v>35</v>
      </c>
      <c r="R10" s="1" t="s">
        <v>66</v>
      </c>
      <c r="S10" s="1">
        <v>1</v>
      </c>
      <c r="T10" s="1">
        <v>0</v>
      </c>
      <c r="U10" s="1">
        <f t="shared" si="4"/>
        <v>1</v>
      </c>
      <c r="V10" s="1">
        <v>0</v>
      </c>
      <c r="W10" s="1">
        <f t="shared" si="1"/>
        <v>1</v>
      </c>
      <c r="X10" s="5">
        <f t="shared" si="2"/>
        <v>100</v>
      </c>
    </row>
    <row r="11" spans="1:24">
      <c r="A11" s="6">
        <v>46054</v>
      </c>
      <c r="B11" s="1" t="s">
        <v>61</v>
      </c>
      <c r="C11" s="1" t="s">
        <v>19</v>
      </c>
      <c r="D11" s="1" t="s">
        <v>67</v>
      </c>
      <c r="E11" s="1" t="s">
        <v>68</v>
      </c>
      <c r="F11" s="1" t="s">
        <v>69</v>
      </c>
      <c r="G11" s="1" t="s">
        <v>23</v>
      </c>
      <c r="H11" s="1" t="s">
        <v>54</v>
      </c>
      <c r="I11" s="2">
        <v>7</v>
      </c>
      <c r="J11" s="2">
        <v>8311233</v>
      </c>
      <c r="K11" s="2">
        <v>105056.77</v>
      </c>
      <c r="L11" s="2">
        <v>0</v>
      </c>
      <c r="M11" s="2">
        <v>0</v>
      </c>
      <c r="N11" s="2">
        <v>653</v>
      </c>
      <c r="O11" s="2">
        <v>8416942.7699999996</v>
      </c>
      <c r="P11" s="1" t="s">
        <v>25</v>
      </c>
      <c r="Q11" s="1" t="s">
        <v>35</v>
      </c>
      <c r="R11" s="1" t="s">
        <v>66</v>
      </c>
      <c r="S11" s="1">
        <v>1</v>
      </c>
      <c r="T11" s="1">
        <v>0</v>
      </c>
      <c r="U11" s="1">
        <f t="shared" si="4"/>
        <v>1</v>
      </c>
      <c r="V11" s="1">
        <v>0</v>
      </c>
      <c r="W11" s="1">
        <f t="shared" si="1"/>
        <v>1</v>
      </c>
      <c r="X11" s="5">
        <f t="shared" si="2"/>
        <v>100</v>
      </c>
    </row>
    <row r="12" spans="1:24">
      <c r="A12" s="6">
        <v>46054</v>
      </c>
      <c r="B12" s="1" t="s">
        <v>61</v>
      </c>
      <c r="C12" s="1" t="s">
        <v>19</v>
      </c>
      <c r="D12" s="1" t="s">
        <v>70</v>
      </c>
      <c r="E12" s="1" t="s">
        <v>64</v>
      </c>
      <c r="F12" s="1" t="s">
        <v>71</v>
      </c>
      <c r="G12" s="1" t="s">
        <v>43</v>
      </c>
      <c r="H12" s="1" t="s">
        <v>54</v>
      </c>
      <c r="I12" s="2">
        <v>20</v>
      </c>
      <c r="J12" s="2">
        <v>8103824</v>
      </c>
      <c r="K12" s="2">
        <v>138100.89000000001</v>
      </c>
      <c r="L12" s="2">
        <v>0</v>
      </c>
      <c r="M12" s="2">
        <v>0</v>
      </c>
      <c r="N12" s="2">
        <v>104</v>
      </c>
      <c r="O12" s="2">
        <v>8242028.8899999997</v>
      </c>
      <c r="P12" s="1" t="s">
        <v>25</v>
      </c>
      <c r="Q12" s="1" t="s">
        <v>35</v>
      </c>
      <c r="R12" s="1" t="s">
        <v>66</v>
      </c>
      <c r="S12" s="1">
        <v>1</v>
      </c>
      <c r="T12" s="1">
        <v>0</v>
      </c>
      <c r="U12" s="1">
        <f t="shared" si="4"/>
        <v>1</v>
      </c>
      <c r="V12" s="1">
        <v>0</v>
      </c>
      <c r="W12" s="1">
        <f t="shared" si="1"/>
        <v>1</v>
      </c>
      <c r="X12" s="5">
        <f t="shared" si="2"/>
        <v>100</v>
      </c>
    </row>
    <row r="13" spans="1:24">
      <c r="A13" s="6">
        <v>46054</v>
      </c>
      <c r="B13" s="1" t="s">
        <v>61</v>
      </c>
      <c r="C13" s="1" t="s">
        <v>19</v>
      </c>
      <c r="D13" s="1" t="s">
        <v>72</v>
      </c>
      <c r="E13" s="1" t="s">
        <v>73</v>
      </c>
      <c r="F13" s="1" t="s">
        <v>74</v>
      </c>
      <c r="G13" s="1"/>
      <c r="H13" s="1" t="s">
        <v>54</v>
      </c>
      <c r="I13" s="2">
        <v>4</v>
      </c>
      <c r="J13" s="2">
        <v>8114333</v>
      </c>
      <c r="K13" s="2">
        <v>126065.87</v>
      </c>
      <c r="L13" s="2">
        <v>0</v>
      </c>
      <c r="M13" s="2">
        <v>0</v>
      </c>
      <c r="N13" s="2">
        <v>100</v>
      </c>
      <c r="O13" s="2">
        <v>8240498.8700000001</v>
      </c>
      <c r="P13" s="1" t="s">
        <v>25</v>
      </c>
      <c r="Q13" s="1" t="s">
        <v>35</v>
      </c>
      <c r="R13" s="1" t="s">
        <v>66</v>
      </c>
      <c r="S13" s="1">
        <v>0</v>
      </c>
      <c r="T13" s="1">
        <v>1</v>
      </c>
      <c r="U13" s="1">
        <f t="shared" si="4"/>
        <v>1</v>
      </c>
      <c r="V13" s="1">
        <v>0</v>
      </c>
      <c r="W13" s="1">
        <f t="shared" si="1"/>
        <v>1</v>
      </c>
      <c r="X13" s="5">
        <f t="shared" si="2"/>
        <v>0</v>
      </c>
    </row>
    <row r="14" spans="1:24">
      <c r="A14" s="6">
        <v>46054</v>
      </c>
      <c r="B14" s="1" t="s">
        <v>61</v>
      </c>
      <c r="C14" s="1" t="s">
        <v>19</v>
      </c>
      <c r="D14" s="1" t="s">
        <v>75</v>
      </c>
      <c r="E14" s="1" t="s">
        <v>64</v>
      </c>
      <c r="F14" s="1" t="s">
        <v>76</v>
      </c>
      <c r="G14" s="1" t="s">
        <v>43</v>
      </c>
      <c r="H14" s="1" t="s">
        <v>54</v>
      </c>
      <c r="I14" s="2">
        <v>15</v>
      </c>
      <c r="J14" s="2">
        <v>7988572</v>
      </c>
      <c r="K14" s="2">
        <v>121977.55</v>
      </c>
      <c r="L14" s="2">
        <v>0</v>
      </c>
      <c r="M14" s="2">
        <v>0</v>
      </c>
      <c r="N14" s="2">
        <v>104</v>
      </c>
      <c r="O14" s="2">
        <v>8110653.5499999998</v>
      </c>
      <c r="P14" s="1" t="s">
        <v>25</v>
      </c>
      <c r="Q14" s="1" t="s">
        <v>35</v>
      </c>
      <c r="R14" s="1" t="s">
        <v>66</v>
      </c>
      <c r="S14" s="1">
        <v>1</v>
      </c>
      <c r="T14" s="1">
        <v>0</v>
      </c>
      <c r="U14" s="1">
        <f t="shared" si="4"/>
        <v>1</v>
      </c>
      <c r="V14" s="1">
        <v>0</v>
      </c>
      <c r="W14" s="1">
        <f t="shared" si="1"/>
        <v>1</v>
      </c>
      <c r="X14" s="5">
        <f t="shared" si="2"/>
        <v>100</v>
      </c>
    </row>
    <row r="15" spans="1:24">
      <c r="A15" s="6">
        <v>46054</v>
      </c>
      <c r="B15" s="1" t="s">
        <v>61</v>
      </c>
      <c r="C15" s="1" t="s">
        <v>19</v>
      </c>
      <c r="D15" s="1" t="s">
        <v>77</v>
      </c>
      <c r="E15" s="1" t="s">
        <v>64</v>
      </c>
      <c r="F15" s="1" t="s">
        <v>78</v>
      </c>
      <c r="G15" s="1" t="s">
        <v>43</v>
      </c>
      <c r="H15" s="1" t="s">
        <v>54</v>
      </c>
      <c r="I15" s="2">
        <v>15</v>
      </c>
      <c r="J15" s="2">
        <v>9966079</v>
      </c>
      <c r="K15" s="2">
        <v>200284.97</v>
      </c>
      <c r="L15" s="2">
        <v>0</v>
      </c>
      <c r="M15" s="2">
        <v>0</v>
      </c>
      <c r="N15" s="2">
        <v>2975</v>
      </c>
      <c r="O15" s="2">
        <v>10169338.970000001</v>
      </c>
      <c r="P15" s="1" t="s">
        <v>25</v>
      </c>
      <c r="Q15" s="1" t="s">
        <v>35</v>
      </c>
      <c r="R15" s="1" t="s">
        <v>66</v>
      </c>
      <c r="S15" s="1">
        <v>1</v>
      </c>
      <c r="T15" s="1">
        <v>0</v>
      </c>
      <c r="U15" s="1">
        <f t="shared" si="4"/>
        <v>1</v>
      </c>
      <c r="V15" s="1">
        <v>0</v>
      </c>
      <c r="W15" s="1">
        <f t="shared" si="1"/>
        <v>1</v>
      </c>
      <c r="X15" s="5">
        <f t="shared" si="2"/>
        <v>100</v>
      </c>
    </row>
    <row r="16" spans="1:24">
      <c r="A16" s="6">
        <v>46054</v>
      </c>
      <c r="B16" s="1" t="s">
        <v>61</v>
      </c>
      <c r="C16" s="1" t="s">
        <v>19</v>
      </c>
      <c r="D16" s="1" t="s">
        <v>79</v>
      </c>
      <c r="E16" s="1" t="s">
        <v>80</v>
      </c>
      <c r="F16" s="1" t="s">
        <v>81</v>
      </c>
      <c r="G16" s="1"/>
      <c r="H16" s="1" t="s">
        <v>54</v>
      </c>
      <c r="I16" s="2">
        <v>15</v>
      </c>
      <c r="J16" s="2">
        <v>8163606</v>
      </c>
      <c r="K16" s="2">
        <v>136234.31</v>
      </c>
      <c r="L16" s="2">
        <v>0</v>
      </c>
      <c r="M16" s="2">
        <v>0</v>
      </c>
      <c r="N16" s="2">
        <v>104</v>
      </c>
      <c r="O16" s="2">
        <v>8299944.3099999996</v>
      </c>
      <c r="P16" s="1" t="s">
        <v>25</v>
      </c>
      <c r="Q16" s="1" t="s">
        <v>35</v>
      </c>
      <c r="R16" s="1" t="s">
        <v>66</v>
      </c>
      <c r="S16" s="1">
        <v>1</v>
      </c>
      <c r="T16" s="1">
        <v>0</v>
      </c>
      <c r="U16" s="1">
        <f t="shared" si="4"/>
        <v>1</v>
      </c>
      <c r="V16" s="1">
        <v>0</v>
      </c>
      <c r="W16" s="1">
        <f t="shared" si="1"/>
        <v>1</v>
      </c>
      <c r="X16" s="5">
        <f t="shared" si="2"/>
        <v>100</v>
      </c>
    </row>
    <row r="17" spans="1:24">
      <c r="A17" s="6">
        <v>46054</v>
      </c>
      <c r="B17" s="1" t="s">
        <v>61</v>
      </c>
      <c r="C17" s="1" t="s">
        <v>19</v>
      </c>
      <c r="D17" s="1" t="s">
        <v>82</v>
      </c>
      <c r="E17" s="1" t="s">
        <v>83</v>
      </c>
      <c r="F17" s="1" t="s">
        <v>43</v>
      </c>
      <c r="G17" s="1"/>
      <c r="H17" s="1" t="s">
        <v>54</v>
      </c>
      <c r="I17" s="2">
        <v>4</v>
      </c>
      <c r="J17" s="2">
        <v>8756810</v>
      </c>
      <c r="K17" s="2">
        <v>235312.7</v>
      </c>
      <c r="L17" s="2">
        <v>0</v>
      </c>
      <c r="M17" s="2">
        <v>0</v>
      </c>
      <c r="N17" s="2">
        <v>4741</v>
      </c>
      <c r="O17" s="2">
        <v>8996863.6999999993</v>
      </c>
      <c r="P17" s="1" t="s">
        <v>25</v>
      </c>
      <c r="Q17" s="1" t="s">
        <v>35</v>
      </c>
      <c r="R17" s="1" t="s">
        <v>66</v>
      </c>
      <c r="S17" s="1">
        <v>1</v>
      </c>
      <c r="T17" s="1">
        <v>0</v>
      </c>
      <c r="U17" s="1">
        <f t="shared" si="4"/>
        <v>1</v>
      </c>
      <c r="V17" s="1">
        <v>0</v>
      </c>
      <c r="W17" s="1">
        <f t="shared" si="1"/>
        <v>1</v>
      </c>
      <c r="X17" s="5">
        <f t="shared" si="2"/>
        <v>100</v>
      </c>
    </row>
    <row r="18" spans="1:24">
      <c r="A18" s="6">
        <v>46054</v>
      </c>
      <c r="B18" s="1" t="s">
        <v>61</v>
      </c>
      <c r="C18" s="1" t="s">
        <v>19</v>
      </c>
      <c r="D18" s="1" t="s">
        <v>84</v>
      </c>
      <c r="E18" s="1" t="s">
        <v>85</v>
      </c>
      <c r="F18" s="1" t="s">
        <v>86</v>
      </c>
      <c r="G18" s="1" t="s">
        <v>43</v>
      </c>
      <c r="H18" s="1" t="s">
        <v>54</v>
      </c>
      <c r="I18" s="2">
        <v>15</v>
      </c>
      <c r="J18" s="2">
        <v>9192330</v>
      </c>
      <c r="K18" s="2">
        <v>230725.89</v>
      </c>
      <c r="L18" s="2">
        <v>0</v>
      </c>
      <c r="M18" s="2">
        <v>0</v>
      </c>
      <c r="N18" s="2">
        <v>3958</v>
      </c>
      <c r="O18" s="2">
        <v>9427013.8900000006</v>
      </c>
      <c r="P18" s="1" t="s">
        <v>25</v>
      </c>
      <c r="Q18" s="1" t="s">
        <v>35</v>
      </c>
      <c r="R18" s="1" t="s">
        <v>66</v>
      </c>
      <c r="S18" s="1">
        <v>1</v>
      </c>
      <c r="T18" s="1">
        <v>0</v>
      </c>
      <c r="U18" s="1">
        <f t="shared" si="4"/>
        <v>1</v>
      </c>
      <c r="V18" s="1">
        <v>0</v>
      </c>
      <c r="W18" s="1">
        <f t="shared" si="1"/>
        <v>1</v>
      </c>
      <c r="X18" s="5">
        <f t="shared" si="2"/>
        <v>100</v>
      </c>
    </row>
    <row r="19" spans="1:24">
      <c r="A19" s="6">
        <v>46054</v>
      </c>
      <c r="B19" s="1" t="s">
        <v>61</v>
      </c>
      <c r="C19" s="1" t="s">
        <v>19</v>
      </c>
      <c r="D19" s="1" t="s">
        <v>87</v>
      </c>
      <c r="E19" s="1" t="s">
        <v>88</v>
      </c>
      <c r="F19" s="1" t="s">
        <v>89</v>
      </c>
      <c r="G19" s="1"/>
      <c r="H19" s="1" t="s">
        <v>24</v>
      </c>
      <c r="I19" s="2">
        <v>12</v>
      </c>
      <c r="J19" s="2">
        <v>730678</v>
      </c>
      <c r="K19" s="2">
        <v>95742</v>
      </c>
      <c r="L19" s="2">
        <v>0</v>
      </c>
      <c r="M19" s="2">
        <v>0</v>
      </c>
      <c r="N19" s="2">
        <v>4033</v>
      </c>
      <c r="O19" s="2">
        <v>830453</v>
      </c>
      <c r="P19" s="1" t="s">
        <v>25</v>
      </c>
      <c r="Q19" s="1" t="s">
        <v>35</v>
      </c>
      <c r="R19" s="1" t="s">
        <v>90</v>
      </c>
      <c r="S19" s="1">
        <v>1</v>
      </c>
      <c r="T19" s="1">
        <v>0</v>
      </c>
      <c r="U19" s="1">
        <f t="shared" si="4"/>
        <v>1</v>
      </c>
      <c r="V19" s="1">
        <v>0</v>
      </c>
      <c r="W19" s="1">
        <f t="shared" si="1"/>
        <v>1</v>
      </c>
      <c r="X19" s="5">
        <f t="shared" si="2"/>
        <v>100</v>
      </c>
    </row>
    <row r="20" spans="1:24">
      <c r="A20" s="6">
        <v>46054</v>
      </c>
      <c r="B20" s="1" t="s">
        <v>18</v>
      </c>
      <c r="C20" s="1" t="s">
        <v>91</v>
      </c>
      <c r="D20" s="1" t="s">
        <v>92</v>
      </c>
      <c r="E20" s="1" t="s">
        <v>93</v>
      </c>
      <c r="F20" s="1" t="s">
        <v>94</v>
      </c>
      <c r="G20" s="1" t="s">
        <v>95</v>
      </c>
      <c r="H20" s="1" t="s">
        <v>24</v>
      </c>
      <c r="I20" s="2">
        <v>4.3899999999999997</v>
      </c>
      <c r="J20" s="2">
        <v>69425</v>
      </c>
      <c r="K20" s="2">
        <v>14289</v>
      </c>
      <c r="L20" s="2">
        <v>0</v>
      </c>
      <c r="M20" s="2">
        <v>0</v>
      </c>
      <c r="N20" s="2">
        <v>2316</v>
      </c>
      <c r="O20" s="2">
        <v>86030</v>
      </c>
      <c r="P20" s="1" t="s">
        <v>25</v>
      </c>
      <c r="Q20" s="1" t="s">
        <v>35</v>
      </c>
      <c r="R20" s="1" t="s">
        <v>44</v>
      </c>
      <c r="S20" s="1">
        <v>1</v>
      </c>
      <c r="T20" s="1">
        <v>0</v>
      </c>
      <c r="U20" s="1">
        <f t="shared" si="4"/>
        <v>1</v>
      </c>
      <c r="V20" s="1">
        <v>0</v>
      </c>
      <c r="W20" s="1">
        <f t="shared" si="1"/>
        <v>1</v>
      </c>
      <c r="X20" s="5">
        <f t="shared" si="2"/>
        <v>100</v>
      </c>
    </row>
    <row r="21" spans="1:24" ht="15" customHeight="1">
      <c r="A21" s="6">
        <v>46054</v>
      </c>
      <c r="B21" s="1" t="s">
        <v>18</v>
      </c>
      <c r="C21" s="1" t="s">
        <v>91</v>
      </c>
      <c r="D21" s="1" t="s">
        <v>96</v>
      </c>
      <c r="E21" s="1" t="s">
        <v>97</v>
      </c>
      <c r="F21" s="1" t="s">
        <v>98</v>
      </c>
      <c r="G21" s="1" t="s">
        <v>43</v>
      </c>
      <c r="H21" s="1" t="s">
        <v>24</v>
      </c>
      <c r="I21" s="2">
        <v>2.9</v>
      </c>
      <c r="J21" s="2">
        <v>55103</v>
      </c>
      <c r="K21" s="2">
        <v>13028</v>
      </c>
      <c r="L21" s="2">
        <v>0</v>
      </c>
      <c r="M21" s="2">
        <v>0</v>
      </c>
      <c r="N21" s="2">
        <v>864</v>
      </c>
      <c r="O21" s="2">
        <v>68995</v>
      </c>
      <c r="P21" s="1" t="s">
        <v>25</v>
      </c>
      <c r="Q21" s="1" t="s">
        <v>35</v>
      </c>
      <c r="R21" s="1" t="s">
        <v>27</v>
      </c>
      <c r="S21" s="1">
        <v>1</v>
      </c>
      <c r="T21" s="1">
        <v>0</v>
      </c>
      <c r="U21" s="1">
        <f t="shared" ref="U21:U22" si="5">T21+S21</f>
        <v>1</v>
      </c>
      <c r="V21" s="1">
        <v>0</v>
      </c>
      <c r="W21" s="1">
        <f t="shared" si="1"/>
        <v>1</v>
      </c>
      <c r="X21" s="5">
        <f t="shared" si="2"/>
        <v>100</v>
      </c>
    </row>
    <row r="22" spans="1:24" ht="15" customHeight="1">
      <c r="A22" s="6">
        <v>46054</v>
      </c>
      <c r="B22" s="1" t="s">
        <v>18</v>
      </c>
      <c r="C22" s="1" t="s">
        <v>91</v>
      </c>
      <c r="D22" s="1" t="s">
        <v>99</v>
      </c>
      <c r="E22" s="1" t="s">
        <v>100</v>
      </c>
      <c r="F22" s="1" t="s">
        <v>101</v>
      </c>
      <c r="G22" s="1" t="s">
        <v>34</v>
      </c>
      <c r="H22" s="1" t="s">
        <v>24</v>
      </c>
      <c r="I22" s="2">
        <v>2.2000000000000002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1" t="s">
        <v>25</v>
      </c>
      <c r="Q22" s="1" t="s">
        <v>26</v>
      </c>
      <c r="R22" s="1" t="s">
        <v>27</v>
      </c>
      <c r="S22" s="1">
        <v>0</v>
      </c>
      <c r="T22" s="1">
        <v>0</v>
      </c>
      <c r="U22" s="1">
        <f t="shared" si="5"/>
        <v>0</v>
      </c>
      <c r="V22" s="1">
        <v>1</v>
      </c>
      <c r="W22" s="1">
        <f t="shared" si="1"/>
        <v>1</v>
      </c>
      <c r="X22" s="5" t="e">
        <f t="shared" si="2"/>
        <v>#DIV/0!</v>
      </c>
    </row>
    <row r="23" spans="1:24">
      <c r="A23" s="6">
        <v>46054</v>
      </c>
      <c r="B23" s="1" t="s">
        <v>49</v>
      </c>
      <c r="C23" s="1" t="s">
        <v>91</v>
      </c>
      <c r="D23" s="1" t="s">
        <v>102</v>
      </c>
      <c r="E23" s="1" t="s">
        <v>103</v>
      </c>
      <c r="F23" s="1" t="s">
        <v>104</v>
      </c>
      <c r="G23" s="1"/>
      <c r="H23" s="1" t="s">
        <v>24</v>
      </c>
      <c r="I23" s="2">
        <v>30</v>
      </c>
      <c r="J23" s="2">
        <v>497386</v>
      </c>
      <c r="K23" s="2">
        <v>1180</v>
      </c>
      <c r="L23" s="2">
        <v>0</v>
      </c>
      <c r="M23" s="2">
        <v>0</v>
      </c>
      <c r="N23" s="2">
        <v>150</v>
      </c>
      <c r="O23" s="2">
        <v>498716</v>
      </c>
      <c r="P23" s="1" t="s">
        <v>25</v>
      </c>
      <c r="Q23" s="1" t="s">
        <v>35</v>
      </c>
      <c r="R23" s="1" t="s">
        <v>27</v>
      </c>
      <c r="S23" s="1">
        <v>1</v>
      </c>
      <c r="T23" s="1">
        <v>0</v>
      </c>
      <c r="U23" s="1">
        <f t="shared" si="4"/>
        <v>1</v>
      </c>
      <c r="V23" s="1">
        <v>0</v>
      </c>
      <c r="W23" s="1">
        <f t="shared" si="1"/>
        <v>1</v>
      </c>
      <c r="X23" s="5">
        <f t="shared" si="2"/>
        <v>100</v>
      </c>
    </row>
    <row r="24" spans="1:24">
      <c r="A24" s="6">
        <v>46054</v>
      </c>
      <c r="B24" s="1" t="s">
        <v>61</v>
      </c>
      <c r="C24" s="1" t="s">
        <v>91</v>
      </c>
      <c r="D24" s="1" t="s">
        <v>105</v>
      </c>
      <c r="E24" s="1" t="s">
        <v>73</v>
      </c>
      <c r="F24" s="1" t="s">
        <v>106</v>
      </c>
      <c r="G24" s="1" t="s">
        <v>107</v>
      </c>
      <c r="H24" s="1" t="s">
        <v>54</v>
      </c>
      <c r="I24" s="2">
        <v>15</v>
      </c>
      <c r="J24" s="2">
        <v>31336576</v>
      </c>
      <c r="K24" s="2">
        <v>2399</v>
      </c>
      <c r="L24" s="2">
        <v>0</v>
      </c>
      <c r="M24" s="2">
        <v>0</v>
      </c>
      <c r="N24" s="2">
        <v>102</v>
      </c>
      <c r="O24" s="2">
        <v>31339077</v>
      </c>
      <c r="P24" s="1" t="s">
        <v>25</v>
      </c>
      <c r="Q24" s="1" t="s">
        <v>35</v>
      </c>
      <c r="R24" s="1" t="s">
        <v>66</v>
      </c>
      <c r="S24" s="1">
        <v>0</v>
      </c>
      <c r="T24" s="1">
        <v>1</v>
      </c>
      <c r="U24" s="1">
        <f t="shared" si="4"/>
        <v>1</v>
      </c>
      <c r="V24" s="1">
        <v>0</v>
      </c>
      <c r="W24" s="1">
        <f t="shared" si="1"/>
        <v>1</v>
      </c>
      <c r="X24" s="5">
        <f t="shared" si="2"/>
        <v>0</v>
      </c>
    </row>
    <row r="25" spans="1:24">
      <c r="A25" s="6">
        <v>46054</v>
      </c>
      <c r="B25" s="1" t="s">
        <v>61</v>
      </c>
      <c r="C25" s="1" t="s">
        <v>91</v>
      </c>
      <c r="D25" s="1" t="s">
        <v>108</v>
      </c>
      <c r="E25" s="1" t="s">
        <v>73</v>
      </c>
      <c r="F25" s="1" t="s">
        <v>109</v>
      </c>
      <c r="G25" s="1" t="s">
        <v>107</v>
      </c>
      <c r="H25" s="1" t="s">
        <v>54</v>
      </c>
      <c r="I25" s="2">
        <v>15</v>
      </c>
      <c r="J25" s="2">
        <v>30275328</v>
      </c>
      <c r="K25" s="2">
        <v>2399</v>
      </c>
      <c r="L25" s="2">
        <v>0</v>
      </c>
      <c r="M25" s="2">
        <v>0</v>
      </c>
      <c r="N25" s="2">
        <v>102</v>
      </c>
      <c r="O25" s="2">
        <v>30277829</v>
      </c>
      <c r="P25" s="1" t="s">
        <v>25</v>
      </c>
      <c r="Q25" s="1" t="s">
        <v>35</v>
      </c>
      <c r="R25" s="1" t="s">
        <v>66</v>
      </c>
      <c r="S25" s="1">
        <v>0</v>
      </c>
      <c r="T25" s="1">
        <v>1</v>
      </c>
      <c r="U25" s="1">
        <f t="shared" si="4"/>
        <v>1</v>
      </c>
      <c r="V25" s="1">
        <v>0</v>
      </c>
      <c r="W25" s="1">
        <f t="shared" si="1"/>
        <v>1</v>
      </c>
      <c r="X25" s="5">
        <f t="shared" si="2"/>
        <v>0</v>
      </c>
    </row>
    <row r="26" spans="1:24">
      <c r="A26" s="6">
        <v>46054</v>
      </c>
      <c r="B26" s="1" t="s">
        <v>61</v>
      </c>
      <c r="C26" s="1" t="s">
        <v>91</v>
      </c>
      <c r="D26" s="1" t="s">
        <v>110</v>
      </c>
      <c r="E26" s="1" t="s">
        <v>73</v>
      </c>
      <c r="F26" s="1" t="s">
        <v>111</v>
      </c>
      <c r="G26" s="1" t="s">
        <v>107</v>
      </c>
      <c r="H26" s="1" t="s">
        <v>54</v>
      </c>
      <c r="I26" s="2">
        <v>15</v>
      </c>
      <c r="J26" s="2">
        <v>30468147</v>
      </c>
      <c r="K26" s="2">
        <v>2399</v>
      </c>
      <c r="L26" s="2">
        <v>0</v>
      </c>
      <c r="M26" s="2">
        <v>0</v>
      </c>
      <c r="N26" s="2">
        <v>102</v>
      </c>
      <c r="O26" s="2">
        <v>30470648</v>
      </c>
      <c r="P26" s="1" t="s">
        <v>25</v>
      </c>
      <c r="Q26" s="1" t="s">
        <v>35</v>
      </c>
      <c r="R26" s="1" t="s">
        <v>66</v>
      </c>
      <c r="S26" s="1">
        <v>0</v>
      </c>
      <c r="T26" s="1">
        <v>1</v>
      </c>
      <c r="U26" s="1">
        <f t="shared" si="4"/>
        <v>1</v>
      </c>
      <c r="V26" s="1">
        <v>0</v>
      </c>
      <c r="W26" s="1">
        <f t="shared" si="1"/>
        <v>1</v>
      </c>
      <c r="X26" s="5">
        <f t="shared" si="2"/>
        <v>0</v>
      </c>
    </row>
    <row r="27" spans="1:24">
      <c r="A27" s="6">
        <v>46054</v>
      </c>
      <c r="B27" s="1" t="s">
        <v>61</v>
      </c>
      <c r="C27" s="1" t="s">
        <v>91</v>
      </c>
      <c r="D27" s="1" t="s">
        <v>112</v>
      </c>
      <c r="E27" s="1" t="s">
        <v>73</v>
      </c>
      <c r="F27" s="1" t="s">
        <v>113</v>
      </c>
      <c r="G27" s="1" t="s">
        <v>107</v>
      </c>
      <c r="H27" s="1" t="s">
        <v>54</v>
      </c>
      <c r="I27" s="2">
        <v>15</v>
      </c>
      <c r="J27" s="2">
        <v>31032256</v>
      </c>
      <c r="K27" s="2">
        <v>2399</v>
      </c>
      <c r="L27" s="2">
        <v>0</v>
      </c>
      <c r="M27" s="2">
        <v>0</v>
      </c>
      <c r="N27" s="2">
        <v>102</v>
      </c>
      <c r="O27" s="2">
        <v>31034757</v>
      </c>
      <c r="P27" s="1" t="s">
        <v>25</v>
      </c>
      <c r="Q27" s="1" t="s">
        <v>35</v>
      </c>
      <c r="R27" s="1" t="s">
        <v>66</v>
      </c>
      <c r="S27" s="1">
        <v>1</v>
      </c>
      <c r="T27" s="1">
        <v>0</v>
      </c>
      <c r="U27" s="1">
        <f t="shared" si="4"/>
        <v>1</v>
      </c>
      <c r="V27" s="1">
        <v>0</v>
      </c>
      <c r="W27" s="1">
        <f t="shared" si="1"/>
        <v>1</v>
      </c>
      <c r="X27" s="5">
        <f t="shared" si="2"/>
        <v>100</v>
      </c>
    </row>
    <row r="28" spans="1:24">
      <c r="A28" s="6">
        <v>46054</v>
      </c>
      <c r="B28" s="1" t="s">
        <v>61</v>
      </c>
      <c r="C28" s="1" t="s">
        <v>91</v>
      </c>
      <c r="D28" s="1" t="s">
        <v>114</v>
      </c>
      <c r="E28" s="1" t="s">
        <v>73</v>
      </c>
      <c r="F28" s="1" t="s">
        <v>115</v>
      </c>
      <c r="G28" s="1" t="s">
        <v>107</v>
      </c>
      <c r="H28" s="1" t="s">
        <v>54</v>
      </c>
      <c r="I28" s="2">
        <v>15</v>
      </c>
      <c r="J28" s="2">
        <v>31130108</v>
      </c>
      <c r="K28" s="2">
        <v>2399</v>
      </c>
      <c r="L28" s="2">
        <v>0</v>
      </c>
      <c r="M28" s="2">
        <v>0</v>
      </c>
      <c r="N28" s="2">
        <v>102</v>
      </c>
      <c r="O28" s="2">
        <v>31132609</v>
      </c>
      <c r="P28" s="1" t="s">
        <v>25</v>
      </c>
      <c r="Q28" s="1" t="s">
        <v>35</v>
      </c>
      <c r="R28" s="1" t="s">
        <v>66</v>
      </c>
      <c r="S28" s="1">
        <v>1</v>
      </c>
      <c r="T28" s="1">
        <v>0</v>
      </c>
      <c r="U28" s="1">
        <f t="shared" si="4"/>
        <v>1</v>
      </c>
      <c r="V28" s="1">
        <v>0</v>
      </c>
      <c r="W28" s="1">
        <f t="shared" si="1"/>
        <v>1</v>
      </c>
      <c r="X28" s="5">
        <f t="shared" si="2"/>
        <v>100</v>
      </c>
    </row>
    <row r="29" spans="1:24">
      <c r="A29" s="6">
        <v>46054</v>
      </c>
      <c r="B29" s="1" t="s">
        <v>61</v>
      </c>
      <c r="C29" s="1" t="s">
        <v>91</v>
      </c>
      <c r="D29" s="1" t="s">
        <v>116</v>
      </c>
      <c r="E29" s="1" t="s">
        <v>117</v>
      </c>
      <c r="F29" s="1" t="s">
        <v>118</v>
      </c>
      <c r="G29" s="1" t="s">
        <v>43</v>
      </c>
      <c r="H29" s="1" t="s">
        <v>54</v>
      </c>
      <c r="I29" s="2">
        <v>5.7</v>
      </c>
      <c r="J29" s="2">
        <v>30278382</v>
      </c>
      <c r="K29" s="2">
        <v>2399</v>
      </c>
      <c r="L29" s="2">
        <v>0</v>
      </c>
      <c r="M29" s="2">
        <v>0</v>
      </c>
      <c r="N29" s="2">
        <v>102</v>
      </c>
      <c r="O29" s="2">
        <v>30280883</v>
      </c>
      <c r="P29" s="1" t="s">
        <v>25</v>
      </c>
      <c r="Q29" s="1" t="s">
        <v>35</v>
      </c>
      <c r="R29" s="1" t="s">
        <v>66</v>
      </c>
      <c r="S29" s="1">
        <v>1</v>
      </c>
      <c r="T29" s="1">
        <v>0</v>
      </c>
      <c r="U29" s="1">
        <f t="shared" si="4"/>
        <v>1</v>
      </c>
      <c r="V29" s="1">
        <v>0</v>
      </c>
      <c r="W29" s="1">
        <f t="shared" si="1"/>
        <v>1</v>
      </c>
      <c r="X29" s="5">
        <f t="shared" si="2"/>
        <v>100</v>
      </c>
    </row>
    <row r="30" spans="1:24">
      <c r="A30" s="6">
        <v>46054</v>
      </c>
      <c r="B30" s="1" t="s">
        <v>61</v>
      </c>
      <c r="C30" s="1" t="s">
        <v>91</v>
      </c>
      <c r="D30" s="1" t="s">
        <v>119</v>
      </c>
      <c r="E30" s="1" t="s">
        <v>120</v>
      </c>
      <c r="F30" s="1" t="s">
        <v>121</v>
      </c>
      <c r="G30" s="1" t="s">
        <v>43</v>
      </c>
      <c r="H30" s="1" t="s">
        <v>54</v>
      </c>
      <c r="I30" s="2">
        <v>15</v>
      </c>
      <c r="J30" s="2">
        <v>31307232</v>
      </c>
      <c r="K30" s="2">
        <v>2399</v>
      </c>
      <c r="L30" s="2">
        <v>0</v>
      </c>
      <c r="M30" s="2">
        <v>0</v>
      </c>
      <c r="N30" s="2">
        <v>102</v>
      </c>
      <c r="O30" s="2">
        <v>31309733</v>
      </c>
      <c r="P30" s="1" t="s">
        <v>25</v>
      </c>
      <c r="Q30" s="1" t="s">
        <v>35</v>
      </c>
      <c r="R30" s="1" t="s">
        <v>66</v>
      </c>
      <c r="S30" s="1">
        <v>0</v>
      </c>
      <c r="T30" s="1">
        <v>1</v>
      </c>
      <c r="U30" s="1">
        <f t="shared" si="4"/>
        <v>1</v>
      </c>
      <c r="V30" s="1">
        <v>0</v>
      </c>
      <c r="W30" s="1">
        <f t="shared" si="1"/>
        <v>1</v>
      </c>
      <c r="X30" s="5">
        <f t="shared" si="2"/>
        <v>0</v>
      </c>
    </row>
    <row r="31" spans="1:24" ht="15" customHeight="1">
      <c r="A31" s="6">
        <v>46054</v>
      </c>
      <c r="B31" s="1" t="s">
        <v>18</v>
      </c>
      <c r="C31" s="1" t="s">
        <v>122</v>
      </c>
      <c r="D31" s="1" t="s">
        <v>123</v>
      </c>
      <c r="E31" s="1" t="s">
        <v>124</v>
      </c>
      <c r="F31" s="1" t="s">
        <v>125</v>
      </c>
      <c r="G31" s="1" t="s">
        <v>43</v>
      </c>
      <c r="H31" s="1" t="s">
        <v>24</v>
      </c>
      <c r="I31" s="2">
        <v>3</v>
      </c>
      <c r="J31" s="2">
        <v>206073</v>
      </c>
      <c r="K31" s="2">
        <v>7341</v>
      </c>
      <c r="L31" s="2">
        <v>0</v>
      </c>
      <c r="M31" s="2">
        <v>0</v>
      </c>
      <c r="N31" s="2">
        <v>1546</v>
      </c>
      <c r="O31" s="2">
        <v>214960</v>
      </c>
      <c r="P31" s="1" t="s">
        <v>25</v>
      </c>
      <c r="Q31" s="1" t="s">
        <v>35</v>
      </c>
      <c r="R31" s="1" t="s">
        <v>27</v>
      </c>
      <c r="S31" s="1">
        <v>0</v>
      </c>
      <c r="T31" s="1">
        <v>1</v>
      </c>
      <c r="U31" s="1">
        <f t="shared" ref="U31" si="6">T31+S31</f>
        <v>1</v>
      </c>
      <c r="V31" s="1">
        <v>0</v>
      </c>
      <c r="W31" s="1">
        <f t="shared" si="1"/>
        <v>1</v>
      </c>
      <c r="X31" s="5">
        <f t="shared" si="2"/>
        <v>0</v>
      </c>
    </row>
    <row r="32" spans="1:24" ht="15" customHeight="1">
      <c r="A32" s="6">
        <v>46054</v>
      </c>
      <c r="B32" s="1" t="s">
        <v>18</v>
      </c>
      <c r="C32" s="1" t="s">
        <v>122</v>
      </c>
      <c r="D32" s="1" t="s">
        <v>1404</v>
      </c>
      <c r="E32" s="1" t="s">
        <v>1405</v>
      </c>
      <c r="F32" s="1" t="s">
        <v>1406</v>
      </c>
      <c r="G32" s="1" t="s">
        <v>1407</v>
      </c>
      <c r="H32" s="1" t="s">
        <v>24</v>
      </c>
      <c r="I32" s="2">
        <v>1</v>
      </c>
      <c r="J32" s="2">
        <v>65319</v>
      </c>
      <c r="K32" s="2">
        <v>1180</v>
      </c>
      <c r="L32" s="2">
        <v>0</v>
      </c>
      <c r="M32" s="2">
        <v>0</v>
      </c>
      <c r="N32" s="2">
        <v>100</v>
      </c>
      <c r="O32" s="2">
        <v>66599</v>
      </c>
      <c r="P32" s="1" t="s">
        <v>25</v>
      </c>
      <c r="Q32" s="1" t="s">
        <v>35</v>
      </c>
      <c r="R32" s="1" t="s">
        <v>1408</v>
      </c>
      <c r="S32" s="1">
        <v>0</v>
      </c>
      <c r="T32" s="1">
        <v>1</v>
      </c>
      <c r="U32" s="1">
        <f t="shared" si="4"/>
        <v>1</v>
      </c>
      <c r="V32" s="1">
        <v>0</v>
      </c>
      <c r="W32" s="1">
        <f t="shared" si="1"/>
        <v>1</v>
      </c>
      <c r="X32" s="5">
        <f t="shared" si="2"/>
        <v>0</v>
      </c>
    </row>
    <row r="33" spans="1:24" ht="15" customHeight="1">
      <c r="A33" s="6">
        <v>46054</v>
      </c>
      <c r="B33" s="1" t="s">
        <v>18</v>
      </c>
      <c r="C33" s="1" t="s">
        <v>122</v>
      </c>
      <c r="D33" s="1" t="s">
        <v>126</v>
      </c>
      <c r="E33" s="1" t="s">
        <v>64</v>
      </c>
      <c r="F33" s="1" t="s">
        <v>127</v>
      </c>
      <c r="G33" s="1"/>
      <c r="H33" s="1" t="s">
        <v>128</v>
      </c>
      <c r="I33" s="2">
        <v>16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1" t="s">
        <v>25</v>
      </c>
      <c r="Q33" s="1" t="s">
        <v>26</v>
      </c>
      <c r="R33" s="1" t="s">
        <v>66</v>
      </c>
      <c r="S33" s="1">
        <v>0</v>
      </c>
      <c r="T33" s="1">
        <v>0</v>
      </c>
      <c r="U33" s="1">
        <f t="shared" si="4"/>
        <v>0</v>
      </c>
      <c r="V33" s="1">
        <v>1</v>
      </c>
      <c r="W33" s="1">
        <f t="shared" si="1"/>
        <v>1</v>
      </c>
      <c r="X33" s="5" t="e">
        <f t="shared" si="2"/>
        <v>#DIV/0!</v>
      </c>
    </row>
    <row r="34" spans="1:24" ht="15" customHeight="1">
      <c r="A34" s="6">
        <v>46054</v>
      </c>
      <c r="B34" s="1" t="s">
        <v>18</v>
      </c>
      <c r="C34" s="1" t="s">
        <v>122</v>
      </c>
      <c r="D34" s="1" t="s">
        <v>129</v>
      </c>
      <c r="E34" s="1" t="s">
        <v>130</v>
      </c>
      <c r="F34" s="1" t="s">
        <v>131</v>
      </c>
      <c r="G34" s="1"/>
      <c r="H34" s="1" t="s">
        <v>24</v>
      </c>
      <c r="I34" s="2">
        <v>2.6</v>
      </c>
      <c r="J34" s="2">
        <v>415011</v>
      </c>
      <c r="K34" s="2">
        <v>16684</v>
      </c>
      <c r="L34" s="2">
        <v>0</v>
      </c>
      <c r="M34" s="2">
        <v>0</v>
      </c>
      <c r="N34" s="2">
        <v>1214</v>
      </c>
      <c r="O34" s="2">
        <v>432909</v>
      </c>
      <c r="P34" s="1" t="s">
        <v>25</v>
      </c>
      <c r="Q34" s="1" t="s">
        <v>35</v>
      </c>
      <c r="R34" s="1" t="s">
        <v>132</v>
      </c>
      <c r="S34" s="1">
        <v>0</v>
      </c>
      <c r="T34" s="1">
        <v>1</v>
      </c>
      <c r="U34" s="1">
        <f t="shared" ref="U34:U36" si="7">T34+S34</f>
        <v>1</v>
      </c>
      <c r="V34" s="1">
        <v>0</v>
      </c>
      <c r="W34" s="1">
        <f t="shared" si="1"/>
        <v>1</v>
      </c>
      <c r="X34" s="5">
        <f t="shared" si="2"/>
        <v>0</v>
      </c>
    </row>
    <row r="35" spans="1:24" ht="15" customHeight="1">
      <c r="A35" s="6">
        <v>46054</v>
      </c>
      <c r="B35" s="1" t="s">
        <v>18</v>
      </c>
      <c r="C35" s="1" t="s">
        <v>122</v>
      </c>
      <c r="D35" s="1" t="s">
        <v>133</v>
      </c>
      <c r="E35" s="1" t="s">
        <v>134</v>
      </c>
      <c r="F35" s="1" t="s">
        <v>135</v>
      </c>
      <c r="G35" s="1" t="s">
        <v>136</v>
      </c>
      <c r="H35" s="1" t="s">
        <v>24</v>
      </c>
      <c r="I35" s="2">
        <v>1</v>
      </c>
      <c r="J35" s="2">
        <v>-20458</v>
      </c>
      <c r="K35" s="2">
        <v>0</v>
      </c>
      <c r="L35" s="2">
        <v>0</v>
      </c>
      <c r="M35" s="2">
        <v>0</v>
      </c>
      <c r="N35" s="2">
        <v>0</v>
      </c>
      <c r="O35" s="2">
        <v>-20458</v>
      </c>
      <c r="P35" s="1" t="s">
        <v>25</v>
      </c>
      <c r="Q35" s="1" t="s">
        <v>26</v>
      </c>
      <c r="R35" s="1" t="s">
        <v>132</v>
      </c>
      <c r="S35" s="1">
        <v>0</v>
      </c>
      <c r="T35" s="1">
        <v>0</v>
      </c>
      <c r="U35" s="1">
        <f t="shared" si="7"/>
        <v>0</v>
      </c>
      <c r="V35" s="1">
        <v>1</v>
      </c>
      <c r="W35" s="1">
        <f t="shared" si="1"/>
        <v>1</v>
      </c>
      <c r="X35" s="5" t="e">
        <f t="shared" si="2"/>
        <v>#DIV/0!</v>
      </c>
    </row>
    <row r="36" spans="1:24" ht="15" customHeight="1">
      <c r="A36" s="6">
        <v>46054</v>
      </c>
      <c r="B36" s="1" t="s">
        <v>18</v>
      </c>
      <c r="C36" s="1" t="s">
        <v>122</v>
      </c>
      <c r="D36" s="1" t="s">
        <v>137</v>
      </c>
      <c r="E36" s="1" t="s">
        <v>138</v>
      </c>
      <c r="F36" s="1" t="s">
        <v>135</v>
      </c>
      <c r="G36" s="1"/>
      <c r="H36" s="1" t="s">
        <v>24</v>
      </c>
      <c r="I36" s="2">
        <v>1</v>
      </c>
      <c r="J36" s="2">
        <v>-160988</v>
      </c>
      <c r="K36" s="2">
        <v>0</v>
      </c>
      <c r="L36" s="2">
        <v>0</v>
      </c>
      <c r="M36" s="2">
        <v>0</v>
      </c>
      <c r="N36" s="2">
        <v>0</v>
      </c>
      <c r="O36" s="2">
        <v>-160988</v>
      </c>
      <c r="P36" s="1" t="s">
        <v>25</v>
      </c>
      <c r="Q36" s="1" t="s">
        <v>26</v>
      </c>
      <c r="R36" s="1" t="s">
        <v>132</v>
      </c>
      <c r="S36" s="1">
        <v>0</v>
      </c>
      <c r="T36" s="1">
        <v>0</v>
      </c>
      <c r="U36" s="1">
        <f t="shared" si="7"/>
        <v>0</v>
      </c>
      <c r="V36" s="1">
        <v>1</v>
      </c>
      <c r="W36" s="1">
        <f t="shared" si="1"/>
        <v>1</v>
      </c>
      <c r="X36" s="5" t="e">
        <f t="shared" si="2"/>
        <v>#DIV/0!</v>
      </c>
    </row>
    <row r="37" spans="1:24" ht="15" customHeight="1">
      <c r="A37" s="6">
        <v>46054</v>
      </c>
      <c r="B37" s="1" t="s">
        <v>18</v>
      </c>
      <c r="C37" s="1" t="s">
        <v>122</v>
      </c>
      <c r="D37" s="1" t="s">
        <v>139</v>
      </c>
      <c r="E37" s="1" t="s">
        <v>140</v>
      </c>
      <c r="F37" s="1" t="s">
        <v>141</v>
      </c>
      <c r="G37" s="1"/>
      <c r="H37" s="1" t="s">
        <v>24</v>
      </c>
      <c r="I37" s="2">
        <v>2.16</v>
      </c>
      <c r="J37" s="2">
        <v>66484</v>
      </c>
      <c r="K37" s="2">
        <v>8153</v>
      </c>
      <c r="L37" s="2">
        <v>0</v>
      </c>
      <c r="M37" s="2">
        <v>0</v>
      </c>
      <c r="N37" s="2">
        <v>1072</v>
      </c>
      <c r="O37" s="2">
        <v>75709</v>
      </c>
      <c r="P37" s="1" t="s">
        <v>25</v>
      </c>
      <c r="Q37" s="1" t="s">
        <v>35</v>
      </c>
      <c r="R37" s="1" t="s">
        <v>44</v>
      </c>
      <c r="S37" s="1">
        <v>0</v>
      </c>
      <c r="T37" s="1">
        <v>1</v>
      </c>
      <c r="U37" s="1">
        <f t="shared" ref="U37:U40" si="8">T37+S37</f>
        <v>1</v>
      </c>
      <c r="V37" s="1">
        <v>0</v>
      </c>
      <c r="W37" s="1">
        <f t="shared" si="1"/>
        <v>1</v>
      </c>
      <c r="X37" s="5">
        <f t="shared" si="2"/>
        <v>0</v>
      </c>
    </row>
    <row r="38" spans="1:24" ht="15" customHeight="1">
      <c r="A38" s="6">
        <v>46054</v>
      </c>
      <c r="B38" s="1" t="s">
        <v>18</v>
      </c>
      <c r="C38" s="1" t="s">
        <v>122</v>
      </c>
      <c r="D38" s="1" t="s">
        <v>142</v>
      </c>
      <c r="E38" s="1" t="s">
        <v>143</v>
      </c>
      <c r="F38" s="1" t="s">
        <v>144</v>
      </c>
      <c r="G38" s="1" t="s">
        <v>145</v>
      </c>
      <c r="H38" s="1" t="s">
        <v>24</v>
      </c>
      <c r="I38" s="2">
        <v>2.52</v>
      </c>
      <c r="J38" s="2">
        <v>36</v>
      </c>
      <c r="K38" s="2">
        <v>0</v>
      </c>
      <c r="L38" s="2">
        <v>0</v>
      </c>
      <c r="M38" s="2">
        <v>0</v>
      </c>
      <c r="N38" s="2">
        <v>0</v>
      </c>
      <c r="O38" s="2">
        <v>36</v>
      </c>
      <c r="P38" s="1" t="s">
        <v>25</v>
      </c>
      <c r="Q38" s="1" t="s">
        <v>26</v>
      </c>
      <c r="R38" s="1" t="s">
        <v>44</v>
      </c>
      <c r="S38" s="1">
        <v>0</v>
      </c>
      <c r="T38" s="1">
        <v>0</v>
      </c>
      <c r="U38" s="1">
        <f t="shared" si="8"/>
        <v>0</v>
      </c>
      <c r="V38" s="1">
        <v>1</v>
      </c>
      <c r="W38" s="1">
        <f t="shared" si="1"/>
        <v>1</v>
      </c>
      <c r="X38" s="5" t="e">
        <f t="shared" si="2"/>
        <v>#DIV/0!</v>
      </c>
    </row>
    <row r="39" spans="1:24" ht="15" customHeight="1">
      <c r="A39" s="6">
        <v>46054</v>
      </c>
      <c r="B39" s="1" t="s">
        <v>18</v>
      </c>
      <c r="C39" s="1" t="s">
        <v>122</v>
      </c>
      <c r="D39" s="1" t="s">
        <v>146</v>
      </c>
      <c r="E39" s="1" t="s">
        <v>147</v>
      </c>
      <c r="F39" s="1" t="s">
        <v>148</v>
      </c>
      <c r="G39" s="1" t="s">
        <v>149</v>
      </c>
      <c r="H39" s="1" t="s">
        <v>24</v>
      </c>
      <c r="I39" s="2">
        <v>2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1" t="s">
        <v>25</v>
      </c>
      <c r="Q39" s="1" t="s">
        <v>26</v>
      </c>
      <c r="R39" s="1" t="s">
        <v>27</v>
      </c>
      <c r="S39" s="1">
        <v>0</v>
      </c>
      <c r="T39" s="1">
        <v>0</v>
      </c>
      <c r="U39" s="1">
        <f t="shared" si="8"/>
        <v>0</v>
      </c>
      <c r="V39" s="1">
        <v>1</v>
      </c>
      <c r="W39" s="1">
        <f t="shared" si="1"/>
        <v>1</v>
      </c>
      <c r="X39" s="5" t="e">
        <f t="shared" si="2"/>
        <v>#DIV/0!</v>
      </c>
    </row>
    <row r="40" spans="1:24" ht="15" customHeight="1">
      <c r="A40" s="6">
        <v>46054</v>
      </c>
      <c r="B40" s="1" t="s">
        <v>49</v>
      </c>
      <c r="C40" s="1" t="s">
        <v>122</v>
      </c>
      <c r="D40" s="1" t="s">
        <v>150</v>
      </c>
      <c r="E40" s="1" t="s">
        <v>151</v>
      </c>
      <c r="F40" s="1" t="s">
        <v>152</v>
      </c>
      <c r="G40" s="1" t="s">
        <v>43</v>
      </c>
      <c r="H40" s="1" t="s">
        <v>24</v>
      </c>
      <c r="I40" s="2">
        <v>200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1" t="s">
        <v>25</v>
      </c>
      <c r="Q40" s="1" t="s">
        <v>26</v>
      </c>
      <c r="R40" s="1" t="s">
        <v>153</v>
      </c>
      <c r="S40" s="1">
        <v>0</v>
      </c>
      <c r="T40" s="1">
        <v>0</v>
      </c>
      <c r="U40" s="1">
        <f t="shared" si="8"/>
        <v>0</v>
      </c>
      <c r="V40" s="1">
        <v>1</v>
      </c>
      <c r="W40" s="1">
        <f t="shared" si="1"/>
        <v>1</v>
      </c>
      <c r="X40" s="5" t="e">
        <f t="shared" si="2"/>
        <v>#DIV/0!</v>
      </c>
    </row>
    <row r="41" spans="1:24" ht="15" customHeight="1">
      <c r="A41" s="6">
        <v>46054</v>
      </c>
      <c r="B41" s="1" t="s">
        <v>49</v>
      </c>
      <c r="C41" s="1" t="s">
        <v>122</v>
      </c>
      <c r="D41" s="1" t="s">
        <v>154</v>
      </c>
      <c r="E41" s="1" t="s">
        <v>155</v>
      </c>
      <c r="F41" s="1" t="s">
        <v>156</v>
      </c>
      <c r="G41" s="1" t="s">
        <v>127</v>
      </c>
      <c r="H41" s="1" t="s">
        <v>54</v>
      </c>
      <c r="I41" s="2">
        <v>14</v>
      </c>
      <c r="J41" s="2">
        <v>29744355</v>
      </c>
      <c r="K41" s="2">
        <v>81180</v>
      </c>
      <c r="L41" s="2">
        <v>0</v>
      </c>
      <c r="M41" s="2">
        <v>0</v>
      </c>
      <c r="N41" s="2">
        <v>11127</v>
      </c>
      <c r="O41" s="2">
        <v>29836662</v>
      </c>
      <c r="P41" s="1" t="s">
        <v>25</v>
      </c>
      <c r="Q41" s="1" t="s">
        <v>35</v>
      </c>
      <c r="R41" s="1" t="s">
        <v>157</v>
      </c>
      <c r="S41" s="1">
        <v>1</v>
      </c>
      <c r="T41" s="1">
        <v>0</v>
      </c>
      <c r="U41" s="1">
        <f t="shared" si="4"/>
        <v>1</v>
      </c>
      <c r="V41" s="1">
        <v>0</v>
      </c>
      <c r="W41" s="1">
        <f t="shared" si="1"/>
        <v>1</v>
      </c>
      <c r="X41" s="5">
        <f t="shared" si="2"/>
        <v>100</v>
      </c>
    </row>
    <row r="42" spans="1:24" ht="15" customHeight="1">
      <c r="A42" s="6">
        <v>46054</v>
      </c>
      <c r="B42" s="1" t="s">
        <v>61</v>
      </c>
      <c r="C42" s="1" t="s">
        <v>122</v>
      </c>
      <c r="D42" s="1" t="s">
        <v>158</v>
      </c>
      <c r="E42" s="1" t="s">
        <v>159</v>
      </c>
      <c r="F42" s="1" t="s">
        <v>160</v>
      </c>
      <c r="G42" s="1" t="s">
        <v>43</v>
      </c>
      <c r="H42" s="1" t="s">
        <v>54</v>
      </c>
      <c r="I42" s="2">
        <v>17</v>
      </c>
      <c r="J42" s="2">
        <v>37273306</v>
      </c>
      <c r="K42" s="2">
        <v>109292.02</v>
      </c>
      <c r="L42" s="2">
        <v>0</v>
      </c>
      <c r="M42" s="2">
        <v>0</v>
      </c>
      <c r="N42" s="2">
        <v>170</v>
      </c>
      <c r="O42" s="2">
        <v>37382768.020000003</v>
      </c>
      <c r="P42" s="1" t="s">
        <v>25</v>
      </c>
      <c r="Q42" s="1" t="s">
        <v>35</v>
      </c>
      <c r="R42" s="1" t="s">
        <v>55</v>
      </c>
      <c r="S42" s="1">
        <v>0</v>
      </c>
      <c r="T42" s="1">
        <v>1</v>
      </c>
      <c r="U42" s="1">
        <f t="shared" si="4"/>
        <v>1</v>
      </c>
      <c r="V42" s="1">
        <v>0</v>
      </c>
      <c r="W42" s="1">
        <f t="shared" si="1"/>
        <v>1</v>
      </c>
      <c r="X42" s="5">
        <f t="shared" si="2"/>
        <v>0</v>
      </c>
    </row>
    <row r="43" spans="1:24" ht="15" customHeight="1">
      <c r="A43" s="6">
        <v>46054</v>
      </c>
      <c r="B43" s="1" t="s">
        <v>61</v>
      </c>
      <c r="C43" s="1" t="s">
        <v>122</v>
      </c>
      <c r="D43" s="1" t="s">
        <v>161</v>
      </c>
      <c r="E43" s="1" t="s">
        <v>64</v>
      </c>
      <c r="F43" s="1" t="s">
        <v>162</v>
      </c>
      <c r="G43" s="1" t="s">
        <v>43</v>
      </c>
      <c r="H43" s="1" t="s">
        <v>54</v>
      </c>
      <c r="I43" s="2">
        <v>15</v>
      </c>
      <c r="J43" s="2">
        <v>24983413</v>
      </c>
      <c r="K43" s="2">
        <v>3592</v>
      </c>
      <c r="L43" s="2">
        <v>0</v>
      </c>
      <c r="M43" s="2">
        <v>0</v>
      </c>
      <c r="N43" s="2">
        <v>133</v>
      </c>
      <c r="O43" s="2">
        <v>24987138</v>
      </c>
      <c r="P43" s="1" t="s">
        <v>25</v>
      </c>
      <c r="Q43" s="1" t="s">
        <v>35</v>
      </c>
      <c r="R43" s="1" t="s">
        <v>66</v>
      </c>
      <c r="S43" s="1">
        <v>0</v>
      </c>
      <c r="T43" s="1">
        <v>1</v>
      </c>
      <c r="U43" s="1">
        <f t="shared" si="4"/>
        <v>1</v>
      </c>
      <c r="V43" s="1">
        <v>0</v>
      </c>
      <c r="W43" s="1">
        <f t="shared" si="1"/>
        <v>1</v>
      </c>
      <c r="X43" s="5">
        <f t="shared" si="2"/>
        <v>0</v>
      </c>
    </row>
    <row r="44" spans="1:24" ht="15" customHeight="1">
      <c r="A44" s="6">
        <v>46054</v>
      </c>
      <c r="B44" s="1" t="s">
        <v>61</v>
      </c>
      <c r="C44" s="1" t="s">
        <v>122</v>
      </c>
      <c r="D44" s="1" t="s">
        <v>163</v>
      </c>
      <c r="E44" s="1" t="s">
        <v>64</v>
      </c>
      <c r="F44" s="1" t="s">
        <v>164</v>
      </c>
      <c r="G44" s="1" t="s">
        <v>43</v>
      </c>
      <c r="H44" s="1" t="s">
        <v>54</v>
      </c>
      <c r="I44" s="2">
        <v>15</v>
      </c>
      <c r="J44" s="2">
        <v>30271838</v>
      </c>
      <c r="K44" s="2">
        <v>105952.03</v>
      </c>
      <c r="L44" s="2">
        <v>0</v>
      </c>
      <c r="M44" s="2">
        <v>0</v>
      </c>
      <c r="N44" s="2">
        <v>131</v>
      </c>
      <c r="O44" s="2">
        <v>30377921.030000001</v>
      </c>
      <c r="P44" s="1" t="s">
        <v>25</v>
      </c>
      <c r="Q44" s="1" t="s">
        <v>35</v>
      </c>
      <c r="R44" s="1" t="s">
        <v>66</v>
      </c>
      <c r="S44" s="1">
        <v>0</v>
      </c>
      <c r="T44" s="1">
        <v>1</v>
      </c>
      <c r="U44" s="1">
        <f t="shared" si="4"/>
        <v>1</v>
      </c>
      <c r="V44" s="1">
        <v>0</v>
      </c>
      <c r="W44" s="1">
        <f t="shared" si="1"/>
        <v>1</v>
      </c>
      <c r="X44" s="5">
        <f t="shared" si="2"/>
        <v>0</v>
      </c>
    </row>
    <row r="45" spans="1:24" ht="15" customHeight="1">
      <c r="A45" s="6">
        <v>46054</v>
      </c>
      <c r="B45" s="1" t="s">
        <v>61</v>
      </c>
      <c r="C45" s="1" t="s">
        <v>122</v>
      </c>
      <c r="D45" s="1" t="s">
        <v>165</v>
      </c>
      <c r="E45" s="1" t="s">
        <v>64</v>
      </c>
      <c r="F45" s="1" t="s">
        <v>125</v>
      </c>
      <c r="G45" s="1" t="s">
        <v>43</v>
      </c>
      <c r="H45" s="1" t="s">
        <v>54</v>
      </c>
      <c r="I45" s="2">
        <v>15</v>
      </c>
      <c r="J45" s="2">
        <v>29531281</v>
      </c>
      <c r="K45" s="2">
        <v>106098.03</v>
      </c>
      <c r="L45" s="2">
        <v>0</v>
      </c>
      <c r="M45" s="2">
        <v>0</v>
      </c>
      <c r="N45" s="2">
        <v>138</v>
      </c>
      <c r="O45" s="2">
        <v>29637517.030000001</v>
      </c>
      <c r="P45" s="1" t="s">
        <v>25</v>
      </c>
      <c r="Q45" s="1" t="s">
        <v>35</v>
      </c>
      <c r="R45" s="1" t="s">
        <v>66</v>
      </c>
      <c r="S45" s="1">
        <v>0</v>
      </c>
      <c r="T45" s="1">
        <v>1</v>
      </c>
      <c r="U45" s="1">
        <f t="shared" si="4"/>
        <v>1</v>
      </c>
      <c r="V45" s="1">
        <v>0</v>
      </c>
      <c r="W45" s="1">
        <f t="shared" si="1"/>
        <v>1</v>
      </c>
      <c r="X45" s="5">
        <f t="shared" si="2"/>
        <v>0</v>
      </c>
    </row>
    <row r="46" spans="1:24">
      <c r="A46" s="6">
        <v>46054</v>
      </c>
      <c r="B46" s="1" t="s">
        <v>61</v>
      </c>
      <c r="C46" s="1" t="s">
        <v>122</v>
      </c>
      <c r="D46" s="1" t="s">
        <v>166</v>
      </c>
      <c r="E46" s="1" t="s">
        <v>73</v>
      </c>
      <c r="F46" s="1" t="s">
        <v>167</v>
      </c>
      <c r="G46" s="1" t="s">
        <v>34</v>
      </c>
      <c r="H46" s="1" t="s">
        <v>54</v>
      </c>
      <c r="I46" s="2">
        <v>9</v>
      </c>
      <c r="J46" s="2">
        <v>36248984</v>
      </c>
      <c r="K46" s="2">
        <v>69055.759999999995</v>
      </c>
      <c r="L46" s="2">
        <v>0</v>
      </c>
      <c r="M46" s="2">
        <v>0</v>
      </c>
      <c r="N46" s="2">
        <v>138</v>
      </c>
      <c r="O46" s="2">
        <v>36318177.759999998</v>
      </c>
      <c r="P46" s="1" t="s">
        <v>25</v>
      </c>
      <c r="Q46" s="1" t="s">
        <v>35</v>
      </c>
      <c r="R46" s="1" t="s">
        <v>66</v>
      </c>
      <c r="S46" s="1">
        <v>0</v>
      </c>
      <c r="T46" s="1">
        <v>1</v>
      </c>
      <c r="U46" s="1">
        <f t="shared" si="4"/>
        <v>1</v>
      </c>
      <c r="V46" s="1">
        <v>0</v>
      </c>
      <c r="W46" s="1">
        <f t="shared" si="1"/>
        <v>1</v>
      </c>
      <c r="X46" s="5">
        <f t="shared" si="2"/>
        <v>0</v>
      </c>
    </row>
    <row r="47" spans="1:24" ht="15" customHeight="1">
      <c r="A47" s="6">
        <v>46054</v>
      </c>
      <c r="B47" s="1" t="s">
        <v>61</v>
      </c>
      <c r="C47" s="1" t="s">
        <v>122</v>
      </c>
      <c r="D47" s="1" t="s">
        <v>168</v>
      </c>
      <c r="E47" s="1" t="s">
        <v>169</v>
      </c>
      <c r="F47" s="1" t="s">
        <v>170</v>
      </c>
      <c r="G47" s="1" t="s">
        <v>43</v>
      </c>
      <c r="H47" s="1" t="s">
        <v>54</v>
      </c>
      <c r="I47" s="2">
        <v>24</v>
      </c>
      <c r="J47" s="2">
        <v>30637957</v>
      </c>
      <c r="K47" s="2">
        <v>123648.56</v>
      </c>
      <c r="L47" s="2">
        <v>0</v>
      </c>
      <c r="M47" s="2">
        <v>0</v>
      </c>
      <c r="N47" s="2">
        <v>128</v>
      </c>
      <c r="O47" s="2">
        <v>30761733.559999999</v>
      </c>
      <c r="P47" s="1" t="s">
        <v>25</v>
      </c>
      <c r="Q47" s="1" t="s">
        <v>35</v>
      </c>
      <c r="R47" s="1" t="s">
        <v>66</v>
      </c>
      <c r="S47" s="1">
        <v>1</v>
      </c>
      <c r="T47" s="1">
        <v>0</v>
      </c>
      <c r="U47" s="1">
        <f t="shared" si="4"/>
        <v>1</v>
      </c>
      <c r="V47" s="1">
        <v>0</v>
      </c>
      <c r="W47" s="1">
        <f t="shared" si="1"/>
        <v>1</v>
      </c>
      <c r="X47" s="5">
        <f t="shared" si="2"/>
        <v>100</v>
      </c>
    </row>
    <row r="48" spans="1:24">
      <c r="A48" s="6">
        <v>46054</v>
      </c>
      <c r="B48" s="1" t="s">
        <v>61</v>
      </c>
      <c r="C48" s="1" t="s">
        <v>122</v>
      </c>
      <c r="D48" s="1" t="s">
        <v>171</v>
      </c>
      <c r="E48" s="1" t="s">
        <v>73</v>
      </c>
      <c r="F48" s="1" t="s">
        <v>172</v>
      </c>
      <c r="G48" s="1" t="s">
        <v>43</v>
      </c>
      <c r="H48" s="1" t="s">
        <v>54</v>
      </c>
      <c r="I48" s="2">
        <v>9</v>
      </c>
      <c r="J48" s="2">
        <v>25799223</v>
      </c>
      <c r="K48" s="2">
        <v>69365.759999999995</v>
      </c>
      <c r="L48" s="2">
        <v>0</v>
      </c>
      <c r="M48" s="2">
        <v>0</v>
      </c>
      <c r="N48" s="2">
        <v>151</v>
      </c>
      <c r="O48" s="2">
        <v>25868739.760000002</v>
      </c>
      <c r="P48" s="1" t="s">
        <v>25</v>
      </c>
      <c r="Q48" s="1" t="s">
        <v>35</v>
      </c>
      <c r="R48" s="1" t="s">
        <v>66</v>
      </c>
      <c r="S48" s="1">
        <v>0</v>
      </c>
      <c r="T48" s="1">
        <v>1</v>
      </c>
      <c r="U48" s="1">
        <f t="shared" si="4"/>
        <v>1</v>
      </c>
      <c r="V48" s="1">
        <v>0</v>
      </c>
      <c r="W48" s="1">
        <f t="shared" si="1"/>
        <v>1</v>
      </c>
      <c r="X48" s="5">
        <f t="shared" si="2"/>
        <v>0</v>
      </c>
    </row>
    <row r="49" spans="1:24" ht="15" customHeight="1">
      <c r="A49" s="6">
        <v>46054</v>
      </c>
      <c r="B49" s="1" t="s">
        <v>61</v>
      </c>
      <c r="C49" s="1" t="s">
        <v>122</v>
      </c>
      <c r="D49" s="1" t="s">
        <v>173</v>
      </c>
      <c r="E49" s="1" t="s">
        <v>174</v>
      </c>
      <c r="F49" s="1" t="s">
        <v>175</v>
      </c>
      <c r="G49" s="1" t="s">
        <v>34</v>
      </c>
      <c r="H49" s="1" t="s">
        <v>54</v>
      </c>
      <c r="I49" s="2">
        <v>9</v>
      </c>
      <c r="J49" s="2">
        <v>29562509</v>
      </c>
      <c r="K49" s="2">
        <v>69165.759999999995</v>
      </c>
      <c r="L49" s="2">
        <v>0</v>
      </c>
      <c r="M49" s="2">
        <v>0</v>
      </c>
      <c r="N49" s="2">
        <v>143</v>
      </c>
      <c r="O49" s="2">
        <v>29631817.760000002</v>
      </c>
      <c r="P49" s="1" t="s">
        <v>25</v>
      </c>
      <c r="Q49" s="1" t="s">
        <v>35</v>
      </c>
      <c r="R49" s="1" t="s">
        <v>55</v>
      </c>
      <c r="S49" s="1">
        <v>1</v>
      </c>
      <c r="T49" s="1">
        <v>0</v>
      </c>
      <c r="U49" s="1">
        <f t="shared" si="4"/>
        <v>1</v>
      </c>
      <c r="V49" s="1">
        <v>0</v>
      </c>
      <c r="W49" s="1">
        <f t="shared" si="1"/>
        <v>1</v>
      </c>
      <c r="X49" s="5">
        <f t="shared" si="2"/>
        <v>100</v>
      </c>
    </row>
    <row r="50" spans="1:24" ht="15" customHeight="1">
      <c r="A50" s="6">
        <v>46054</v>
      </c>
      <c r="B50" s="1" t="s">
        <v>61</v>
      </c>
      <c r="C50" s="1" t="s">
        <v>122</v>
      </c>
      <c r="D50" s="1" t="s">
        <v>176</v>
      </c>
      <c r="E50" s="1" t="s">
        <v>177</v>
      </c>
      <c r="F50" s="1" t="s">
        <v>178</v>
      </c>
      <c r="G50" s="1" t="s">
        <v>179</v>
      </c>
      <c r="H50" s="1" t="s">
        <v>54</v>
      </c>
      <c r="I50" s="2">
        <v>3</v>
      </c>
      <c r="J50" s="2">
        <v>29481083</v>
      </c>
      <c r="K50" s="2">
        <v>107142.62</v>
      </c>
      <c r="L50" s="2">
        <v>0</v>
      </c>
      <c r="M50" s="2">
        <v>0</v>
      </c>
      <c r="N50" s="2">
        <v>126</v>
      </c>
      <c r="O50" s="2">
        <v>29588351.620000001</v>
      </c>
      <c r="P50" s="1" t="s">
        <v>25</v>
      </c>
      <c r="Q50" s="1" t="s">
        <v>35</v>
      </c>
      <c r="R50" s="1" t="s">
        <v>66</v>
      </c>
      <c r="S50" s="1">
        <v>1</v>
      </c>
      <c r="T50" s="1">
        <v>0</v>
      </c>
      <c r="U50" s="1">
        <f t="shared" si="4"/>
        <v>1</v>
      </c>
      <c r="V50" s="1">
        <v>0</v>
      </c>
      <c r="W50" s="1">
        <f t="shared" si="1"/>
        <v>1</v>
      </c>
      <c r="X50" s="5">
        <f t="shared" si="2"/>
        <v>100</v>
      </c>
    </row>
    <row r="51" spans="1:24">
      <c r="A51" s="6">
        <v>46054</v>
      </c>
      <c r="B51" s="1" t="s">
        <v>61</v>
      </c>
      <c r="C51" s="1" t="s">
        <v>122</v>
      </c>
      <c r="D51" s="1" t="s">
        <v>180</v>
      </c>
      <c r="E51" s="1" t="s">
        <v>181</v>
      </c>
      <c r="F51" s="1" t="s">
        <v>182</v>
      </c>
      <c r="G51" s="1" t="s">
        <v>43</v>
      </c>
      <c r="H51" s="1" t="s">
        <v>54</v>
      </c>
      <c r="I51" s="2">
        <v>18</v>
      </c>
      <c r="J51" s="2">
        <v>29354658</v>
      </c>
      <c r="K51" s="2">
        <v>108037.95</v>
      </c>
      <c r="L51" s="2">
        <v>0</v>
      </c>
      <c r="M51" s="2">
        <v>0</v>
      </c>
      <c r="N51" s="2">
        <v>102</v>
      </c>
      <c r="O51" s="2">
        <v>29462797.949999999</v>
      </c>
      <c r="P51" s="1" t="s">
        <v>25</v>
      </c>
      <c r="Q51" s="1" t="s">
        <v>35</v>
      </c>
      <c r="R51" s="1" t="s">
        <v>66</v>
      </c>
      <c r="S51" s="1">
        <v>0</v>
      </c>
      <c r="T51" s="1">
        <v>1</v>
      </c>
      <c r="U51" s="1">
        <f t="shared" si="4"/>
        <v>1</v>
      </c>
      <c r="V51" s="1">
        <v>0</v>
      </c>
      <c r="W51" s="1">
        <f t="shared" si="1"/>
        <v>1</v>
      </c>
      <c r="X51" s="5">
        <f t="shared" si="2"/>
        <v>0</v>
      </c>
    </row>
    <row r="52" spans="1:24">
      <c r="A52" s="6">
        <v>46054</v>
      </c>
      <c r="B52" s="1" t="s">
        <v>61</v>
      </c>
      <c r="C52" s="1" t="s">
        <v>122</v>
      </c>
      <c r="D52" s="1" t="s">
        <v>183</v>
      </c>
      <c r="E52" s="1" t="s">
        <v>184</v>
      </c>
      <c r="F52" s="1" t="s">
        <v>185</v>
      </c>
      <c r="G52" s="1" t="s">
        <v>43</v>
      </c>
      <c r="H52" s="1" t="s">
        <v>54</v>
      </c>
      <c r="I52" s="2">
        <v>11</v>
      </c>
      <c r="J52" s="2">
        <v>37496927</v>
      </c>
      <c r="K52" s="2">
        <v>101360.64</v>
      </c>
      <c r="L52" s="2">
        <v>0</v>
      </c>
      <c r="M52" s="2">
        <v>0</v>
      </c>
      <c r="N52" s="2">
        <v>113</v>
      </c>
      <c r="O52" s="2">
        <v>37598400.640000001</v>
      </c>
      <c r="P52" s="1" t="s">
        <v>25</v>
      </c>
      <c r="Q52" s="1" t="s">
        <v>35</v>
      </c>
      <c r="R52" s="1" t="s">
        <v>66</v>
      </c>
      <c r="S52" s="1">
        <v>0</v>
      </c>
      <c r="T52" s="1">
        <v>1</v>
      </c>
      <c r="U52" s="1">
        <f t="shared" si="4"/>
        <v>1</v>
      </c>
      <c r="V52" s="1">
        <v>0</v>
      </c>
      <c r="W52" s="1">
        <f t="shared" si="1"/>
        <v>1</v>
      </c>
      <c r="X52" s="5">
        <f t="shared" si="2"/>
        <v>0</v>
      </c>
    </row>
    <row r="53" spans="1:24">
      <c r="A53" s="6">
        <v>46054</v>
      </c>
      <c r="B53" s="1" t="s">
        <v>61</v>
      </c>
      <c r="C53" s="1" t="s">
        <v>122</v>
      </c>
      <c r="D53" s="1" t="s">
        <v>186</v>
      </c>
      <c r="E53" s="1" t="s">
        <v>177</v>
      </c>
      <c r="F53" s="1" t="s">
        <v>187</v>
      </c>
      <c r="G53" s="1" t="s">
        <v>43</v>
      </c>
      <c r="H53" s="1" t="s">
        <v>54</v>
      </c>
      <c r="I53" s="2">
        <v>20</v>
      </c>
      <c r="J53" s="2">
        <v>35301022</v>
      </c>
      <c r="K53" s="2">
        <v>123532.56</v>
      </c>
      <c r="L53" s="2">
        <v>0</v>
      </c>
      <c r="M53" s="2">
        <v>0</v>
      </c>
      <c r="N53" s="2">
        <v>123</v>
      </c>
      <c r="O53" s="2">
        <v>35424677.560000002</v>
      </c>
      <c r="P53" s="1" t="s">
        <v>25</v>
      </c>
      <c r="Q53" s="1" t="s">
        <v>35</v>
      </c>
      <c r="R53" s="1" t="s">
        <v>66</v>
      </c>
      <c r="S53" s="1">
        <v>0</v>
      </c>
      <c r="T53" s="1">
        <v>1</v>
      </c>
      <c r="U53" s="1">
        <f t="shared" si="4"/>
        <v>1</v>
      </c>
      <c r="V53" s="1">
        <v>0</v>
      </c>
      <c r="W53" s="1">
        <f t="shared" si="1"/>
        <v>1</v>
      </c>
      <c r="X53" s="5">
        <f t="shared" si="2"/>
        <v>0</v>
      </c>
    </row>
    <row r="54" spans="1:24" ht="15" customHeight="1">
      <c r="A54" s="6">
        <v>46054</v>
      </c>
      <c r="B54" s="1" t="s">
        <v>61</v>
      </c>
      <c r="C54" s="1" t="s">
        <v>122</v>
      </c>
      <c r="D54" s="1" t="s">
        <v>188</v>
      </c>
      <c r="E54" s="1" t="s">
        <v>189</v>
      </c>
      <c r="F54" s="1" t="s">
        <v>190</v>
      </c>
      <c r="G54" s="1" t="s">
        <v>34</v>
      </c>
      <c r="H54" s="1" t="s">
        <v>54</v>
      </c>
      <c r="I54" s="2">
        <v>22</v>
      </c>
      <c r="J54" s="2">
        <v>25522880</v>
      </c>
      <c r="K54" s="2">
        <v>123294.56</v>
      </c>
      <c r="L54" s="2">
        <v>0</v>
      </c>
      <c r="M54" s="2">
        <v>0</v>
      </c>
      <c r="N54" s="2">
        <v>113</v>
      </c>
      <c r="O54" s="2">
        <v>25646287.559999999</v>
      </c>
      <c r="P54" s="1" t="s">
        <v>25</v>
      </c>
      <c r="Q54" s="1" t="s">
        <v>35</v>
      </c>
      <c r="R54" s="1" t="s">
        <v>66</v>
      </c>
      <c r="S54" s="1">
        <v>1</v>
      </c>
      <c r="T54" s="1">
        <v>0</v>
      </c>
      <c r="U54" s="1">
        <f t="shared" si="4"/>
        <v>1</v>
      </c>
      <c r="V54" s="1">
        <v>0</v>
      </c>
      <c r="W54" s="1">
        <f t="shared" si="1"/>
        <v>1</v>
      </c>
      <c r="X54" s="5">
        <f t="shared" si="2"/>
        <v>100</v>
      </c>
    </row>
    <row r="55" spans="1:24">
      <c r="A55" s="6">
        <v>46054</v>
      </c>
      <c r="B55" s="1" t="s">
        <v>61</v>
      </c>
      <c r="C55" s="1" t="s">
        <v>122</v>
      </c>
      <c r="D55" s="1" t="s">
        <v>191</v>
      </c>
      <c r="E55" s="1" t="s">
        <v>192</v>
      </c>
      <c r="F55" s="1" t="s">
        <v>193</v>
      </c>
      <c r="G55" s="1" t="s">
        <v>194</v>
      </c>
      <c r="H55" s="1" t="s">
        <v>24</v>
      </c>
      <c r="I55" s="2">
        <v>20</v>
      </c>
      <c r="J55" s="2">
        <v>9615</v>
      </c>
      <c r="K55" s="2">
        <v>20534</v>
      </c>
      <c r="L55" s="2">
        <v>0</v>
      </c>
      <c r="M55" s="2">
        <v>0</v>
      </c>
      <c r="N55" s="2">
        <v>867</v>
      </c>
      <c r="O55" s="2">
        <v>31016</v>
      </c>
      <c r="P55" s="1" t="s">
        <v>25</v>
      </c>
      <c r="Q55" s="1" t="s">
        <v>35</v>
      </c>
      <c r="R55" s="1" t="s">
        <v>195</v>
      </c>
      <c r="S55" s="1">
        <v>0</v>
      </c>
      <c r="T55" s="1">
        <v>1</v>
      </c>
      <c r="U55" s="1">
        <f t="shared" si="4"/>
        <v>1</v>
      </c>
      <c r="V55" s="1">
        <v>0</v>
      </c>
      <c r="W55" s="1">
        <f t="shared" si="1"/>
        <v>1</v>
      </c>
      <c r="X55" s="5">
        <f t="shared" si="2"/>
        <v>0</v>
      </c>
    </row>
    <row r="56" spans="1:24" ht="15" customHeight="1">
      <c r="A56" s="6">
        <v>46054</v>
      </c>
      <c r="B56" s="1" t="s">
        <v>61</v>
      </c>
      <c r="C56" s="1" t="s">
        <v>122</v>
      </c>
      <c r="D56" s="1" t="s">
        <v>196</v>
      </c>
      <c r="E56" s="1" t="s">
        <v>197</v>
      </c>
      <c r="F56" s="1" t="s">
        <v>198</v>
      </c>
      <c r="G56" s="1" t="s">
        <v>194</v>
      </c>
      <c r="H56" s="1" t="s">
        <v>24</v>
      </c>
      <c r="I56" s="2">
        <v>20</v>
      </c>
      <c r="J56" s="2">
        <v>256193</v>
      </c>
      <c r="K56" s="2">
        <v>43343</v>
      </c>
      <c r="L56" s="2">
        <v>0</v>
      </c>
      <c r="M56" s="2">
        <v>0</v>
      </c>
      <c r="N56" s="2">
        <v>1830</v>
      </c>
      <c r="O56" s="2">
        <v>301366</v>
      </c>
      <c r="P56" s="1" t="s">
        <v>25</v>
      </c>
      <c r="Q56" s="1" t="s">
        <v>35</v>
      </c>
      <c r="R56" s="1" t="s">
        <v>195</v>
      </c>
      <c r="S56" s="1">
        <v>1</v>
      </c>
      <c r="T56" s="1">
        <v>0</v>
      </c>
      <c r="U56" s="1">
        <f t="shared" si="4"/>
        <v>1</v>
      </c>
      <c r="V56" s="1">
        <v>0</v>
      </c>
      <c r="W56" s="1">
        <f t="shared" si="1"/>
        <v>1</v>
      </c>
      <c r="X56" s="5">
        <f t="shared" si="2"/>
        <v>100</v>
      </c>
    </row>
    <row r="57" spans="1:24">
      <c r="A57" s="6">
        <v>46054</v>
      </c>
      <c r="B57" s="1" t="s">
        <v>61</v>
      </c>
      <c r="C57" s="1" t="s">
        <v>122</v>
      </c>
      <c r="D57" s="1" t="s">
        <v>199</v>
      </c>
      <c r="E57" s="1" t="s">
        <v>200</v>
      </c>
      <c r="F57" s="1" t="s">
        <v>201</v>
      </c>
      <c r="G57" s="1"/>
      <c r="H57" s="1" t="s">
        <v>54</v>
      </c>
      <c r="I57" s="2">
        <v>6.5</v>
      </c>
      <c r="J57" s="2">
        <v>34341692</v>
      </c>
      <c r="K57" s="2">
        <v>69080.08</v>
      </c>
      <c r="L57" s="2">
        <v>0</v>
      </c>
      <c r="M57" s="2">
        <v>0</v>
      </c>
      <c r="N57" s="2">
        <v>100</v>
      </c>
      <c r="O57" s="2">
        <v>34410872.079999998</v>
      </c>
      <c r="P57" s="1" t="s">
        <v>25</v>
      </c>
      <c r="Q57" s="1" t="s">
        <v>35</v>
      </c>
      <c r="R57" s="1" t="s">
        <v>66</v>
      </c>
      <c r="S57" s="1">
        <v>0</v>
      </c>
      <c r="T57" s="1">
        <v>1</v>
      </c>
      <c r="U57" s="1">
        <f t="shared" si="4"/>
        <v>1</v>
      </c>
      <c r="V57" s="1">
        <v>0</v>
      </c>
      <c r="W57" s="1">
        <f t="shared" si="1"/>
        <v>1</v>
      </c>
      <c r="X57" s="5">
        <f t="shared" si="2"/>
        <v>0</v>
      </c>
    </row>
    <row r="58" spans="1:24" ht="15" customHeight="1">
      <c r="A58" s="6">
        <v>46054</v>
      </c>
      <c r="B58" s="1" t="s">
        <v>61</v>
      </c>
      <c r="C58" s="1" t="s">
        <v>122</v>
      </c>
      <c r="D58" s="1" t="s">
        <v>202</v>
      </c>
      <c r="E58" s="1" t="s">
        <v>203</v>
      </c>
      <c r="F58" s="1" t="s">
        <v>204</v>
      </c>
      <c r="G58" s="1" t="s">
        <v>205</v>
      </c>
      <c r="H58" s="1" t="s">
        <v>54</v>
      </c>
      <c r="I58" s="2">
        <v>2</v>
      </c>
      <c r="J58" s="2">
        <v>38785112</v>
      </c>
      <c r="K58" s="2">
        <v>68459.759999999995</v>
      </c>
      <c r="L58" s="2">
        <v>0</v>
      </c>
      <c r="M58" s="2">
        <v>0</v>
      </c>
      <c r="N58" s="2">
        <v>113</v>
      </c>
      <c r="O58" s="2">
        <v>38853684.759999998</v>
      </c>
      <c r="P58" s="1" t="s">
        <v>25</v>
      </c>
      <c r="Q58" s="1" t="s">
        <v>35</v>
      </c>
      <c r="R58" s="1" t="s">
        <v>66</v>
      </c>
      <c r="S58" s="1">
        <v>1</v>
      </c>
      <c r="T58" s="1">
        <v>0</v>
      </c>
      <c r="U58" s="1">
        <f t="shared" si="4"/>
        <v>1</v>
      </c>
      <c r="V58" s="1">
        <v>0</v>
      </c>
      <c r="W58" s="1">
        <f t="shared" si="1"/>
        <v>1</v>
      </c>
      <c r="X58" s="5">
        <f t="shared" si="2"/>
        <v>100</v>
      </c>
    </row>
    <row r="59" spans="1:24">
      <c r="A59" s="6">
        <v>46054</v>
      </c>
      <c r="B59" s="1" t="s">
        <v>61</v>
      </c>
      <c r="C59" s="1" t="s">
        <v>122</v>
      </c>
      <c r="D59" s="1" t="s">
        <v>206</v>
      </c>
      <c r="E59" s="1" t="s">
        <v>159</v>
      </c>
      <c r="F59" s="1" t="s">
        <v>160</v>
      </c>
      <c r="G59" s="1" t="s">
        <v>43</v>
      </c>
      <c r="H59" s="1" t="s">
        <v>54</v>
      </c>
      <c r="I59" s="2">
        <v>17</v>
      </c>
      <c r="J59" s="2">
        <v>37334439</v>
      </c>
      <c r="K59" s="2">
        <v>124029.56</v>
      </c>
      <c r="L59" s="2">
        <v>0</v>
      </c>
      <c r="M59" s="2">
        <v>0</v>
      </c>
      <c r="N59" s="2">
        <v>144</v>
      </c>
      <c r="O59" s="2">
        <v>37458612.560000002</v>
      </c>
      <c r="P59" s="1" t="s">
        <v>25</v>
      </c>
      <c r="Q59" s="1" t="s">
        <v>35</v>
      </c>
      <c r="R59" s="1" t="s">
        <v>66</v>
      </c>
      <c r="S59" s="1">
        <v>1</v>
      </c>
      <c r="T59" s="1">
        <v>0</v>
      </c>
      <c r="U59" s="1">
        <f t="shared" si="4"/>
        <v>1</v>
      </c>
      <c r="V59" s="1">
        <v>0</v>
      </c>
      <c r="W59" s="1">
        <f t="shared" si="1"/>
        <v>1</v>
      </c>
      <c r="X59" s="5">
        <f t="shared" si="2"/>
        <v>100</v>
      </c>
    </row>
    <row r="60" spans="1:24" ht="15" customHeight="1">
      <c r="A60" s="6">
        <v>46054</v>
      </c>
      <c r="B60" s="1" t="s">
        <v>61</v>
      </c>
      <c r="C60" s="1" t="s">
        <v>122</v>
      </c>
      <c r="D60" s="1" t="s">
        <v>207</v>
      </c>
      <c r="E60" s="1" t="s">
        <v>203</v>
      </c>
      <c r="F60" s="1" t="s">
        <v>208</v>
      </c>
      <c r="G60" s="1" t="s">
        <v>205</v>
      </c>
      <c r="H60" s="1" t="s">
        <v>54</v>
      </c>
      <c r="I60" s="2">
        <v>12</v>
      </c>
      <c r="J60" s="2">
        <v>31791301</v>
      </c>
      <c r="K60" s="2">
        <v>106844.62</v>
      </c>
      <c r="L60" s="2">
        <v>0</v>
      </c>
      <c r="M60" s="2">
        <v>0</v>
      </c>
      <c r="N60" s="2">
        <v>113</v>
      </c>
      <c r="O60" s="2">
        <v>31898258.620000001</v>
      </c>
      <c r="P60" s="1" t="s">
        <v>25</v>
      </c>
      <c r="Q60" s="1" t="s">
        <v>35</v>
      </c>
      <c r="R60" s="1" t="s">
        <v>66</v>
      </c>
      <c r="S60" s="1">
        <v>1</v>
      </c>
      <c r="T60" s="1">
        <v>0</v>
      </c>
      <c r="U60" s="1">
        <f t="shared" si="4"/>
        <v>1</v>
      </c>
      <c r="V60" s="1">
        <v>0</v>
      </c>
      <c r="W60" s="1">
        <f t="shared" si="1"/>
        <v>1</v>
      </c>
      <c r="X60" s="5">
        <f t="shared" si="2"/>
        <v>100</v>
      </c>
    </row>
    <row r="61" spans="1:24" ht="15" customHeight="1">
      <c r="A61" s="6">
        <v>46054</v>
      </c>
      <c r="B61" s="1" t="s">
        <v>61</v>
      </c>
      <c r="C61" s="1" t="s">
        <v>122</v>
      </c>
      <c r="D61" s="1" t="s">
        <v>209</v>
      </c>
      <c r="E61" s="1" t="s">
        <v>159</v>
      </c>
      <c r="F61" s="1" t="s">
        <v>160</v>
      </c>
      <c r="G61" s="1" t="s">
        <v>43</v>
      </c>
      <c r="H61" s="1" t="s">
        <v>54</v>
      </c>
      <c r="I61" s="2">
        <v>17</v>
      </c>
      <c r="J61" s="2">
        <v>39630053</v>
      </c>
      <c r="K61" s="2">
        <v>124029.56</v>
      </c>
      <c r="L61" s="2">
        <v>0</v>
      </c>
      <c r="M61" s="2">
        <v>0</v>
      </c>
      <c r="N61" s="2">
        <v>144</v>
      </c>
      <c r="O61" s="2">
        <v>39754226.560000002</v>
      </c>
      <c r="P61" s="1" t="s">
        <v>25</v>
      </c>
      <c r="Q61" s="1" t="s">
        <v>35</v>
      </c>
      <c r="R61" s="1" t="s">
        <v>66</v>
      </c>
      <c r="S61" s="1">
        <v>1</v>
      </c>
      <c r="T61" s="1">
        <v>0</v>
      </c>
      <c r="U61" s="1">
        <f t="shared" si="4"/>
        <v>1</v>
      </c>
      <c r="V61" s="1">
        <v>0</v>
      </c>
      <c r="W61" s="1">
        <f t="shared" si="1"/>
        <v>1</v>
      </c>
      <c r="X61" s="5">
        <f t="shared" si="2"/>
        <v>100</v>
      </c>
    </row>
    <row r="62" spans="1:24">
      <c r="A62" s="6">
        <v>46054</v>
      </c>
      <c r="B62" s="1" t="s">
        <v>61</v>
      </c>
      <c r="C62" s="1" t="s">
        <v>122</v>
      </c>
      <c r="D62" s="1" t="s">
        <v>210</v>
      </c>
      <c r="E62" s="1" t="s">
        <v>159</v>
      </c>
      <c r="F62" s="1" t="s">
        <v>160</v>
      </c>
      <c r="G62" s="1" t="s">
        <v>43</v>
      </c>
      <c r="H62" s="1" t="s">
        <v>54</v>
      </c>
      <c r="I62" s="2">
        <v>17</v>
      </c>
      <c r="J62" s="2">
        <v>36339113</v>
      </c>
      <c r="K62" s="2">
        <v>107579.62</v>
      </c>
      <c r="L62" s="2">
        <v>0</v>
      </c>
      <c r="M62" s="2">
        <v>0</v>
      </c>
      <c r="N62" s="2">
        <v>144</v>
      </c>
      <c r="O62" s="2">
        <v>36446836.619999997</v>
      </c>
      <c r="P62" s="1" t="s">
        <v>25</v>
      </c>
      <c r="Q62" s="1" t="s">
        <v>35</v>
      </c>
      <c r="R62" s="1" t="s">
        <v>66</v>
      </c>
      <c r="S62" s="1">
        <v>1</v>
      </c>
      <c r="T62" s="1">
        <v>0</v>
      </c>
      <c r="U62" s="1">
        <f t="shared" si="4"/>
        <v>1</v>
      </c>
      <c r="V62" s="1">
        <v>0</v>
      </c>
      <c r="W62" s="1">
        <f t="shared" si="1"/>
        <v>1</v>
      </c>
      <c r="X62" s="5">
        <f t="shared" si="2"/>
        <v>100</v>
      </c>
    </row>
    <row r="63" spans="1:24">
      <c r="A63" s="6">
        <v>46054</v>
      </c>
      <c r="B63" s="1" t="s">
        <v>61</v>
      </c>
      <c r="C63" s="1" t="s">
        <v>122</v>
      </c>
      <c r="D63" s="1" t="s">
        <v>211</v>
      </c>
      <c r="E63" s="1" t="s">
        <v>177</v>
      </c>
      <c r="F63" s="1" t="s">
        <v>178</v>
      </c>
      <c r="G63" s="1" t="s">
        <v>212</v>
      </c>
      <c r="H63" s="1" t="s">
        <v>54</v>
      </c>
      <c r="I63" s="2">
        <v>2</v>
      </c>
      <c r="J63" s="2">
        <v>29001799</v>
      </c>
      <c r="K63" s="2">
        <v>123442.56</v>
      </c>
      <c r="L63" s="2">
        <v>0</v>
      </c>
      <c r="M63" s="2">
        <v>0</v>
      </c>
      <c r="N63" s="2">
        <v>119</v>
      </c>
      <c r="O63" s="2">
        <v>29125360.559999999</v>
      </c>
      <c r="P63" s="1" t="s">
        <v>25</v>
      </c>
      <c r="Q63" s="1" t="s">
        <v>35</v>
      </c>
      <c r="R63" s="1" t="s">
        <v>66</v>
      </c>
      <c r="S63" s="1">
        <v>1</v>
      </c>
      <c r="T63" s="1">
        <v>0</v>
      </c>
      <c r="U63" s="1">
        <f t="shared" si="4"/>
        <v>1</v>
      </c>
      <c r="V63" s="1">
        <v>0</v>
      </c>
      <c r="W63" s="1">
        <f t="shared" si="1"/>
        <v>1</v>
      </c>
      <c r="X63" s="5">
        <f t="shared" si="2"/>
        <v>100</v>
      </c>
    </row>
    <row r="64" spans="1:24" ht="15" customHeight="1">
      <c r="A64" s="6">
        <v>46054</v>
      </c>
      <c r="B64" s="1" t="s">
        <v>61</v>
      </c>
      <c r="C64" s="1" t="s">
        <v>122</v>
      </c>
      <c r="D64" s="1" t="s">
        <v>213</v>
      </c>
      <c r="E64" s="1" t="s">
        <v>64</v>
      </c>
      <c r="F64" s="1" t="s">
        <v>214</v>
      </c>
      <c r="G64" s="1" t="s">
        <v>215</v>
      </c>
      <c r="H64" s="1" t="s">
        <v>54</v>
      </c>
      <c r="I64" s="2">
        <v>15</v>
      </c>
      <c r="J64" s="2">
        <v>39811417</v>
      </c>
      <c r="K64" s="2">
        <v>75180.539999999994</v>
      </c>
      <c r="L64" s="2">
        <v>0</v>
      </c>
      <c r="M64" s="2">
        <v>0</v>
      </c>
      <c r="N64" s="2">
        <v>170</v>
      </c>
      <c r="O64" s="2">
        <v>39886767.539999999</v>
      </c>
      <c r="P64" s="1" t="s">
        <v>25</v>
      </c>
      <c r="Q64" s="1" t="s">
        <v>35</v>
      </c>
      <c r="R64" s="1" t="s">
        <v>66</v>
      </c>
      <c r="S64" s="1">
        <v>1</v>
      </c>
      <c r="T64" s="1">
        <v>0</v>
      </c>
      <c r="U64" s="1">
        <f t="shared" si="4"/>
        <v>1</v>
      </c>
      <c r="V64" s="1">
        <v>0</v>
      </c>
      <c r="W64" s="1">
        <f t="shared" si="1"/>
        <v>1</v>
      </c>
      <c r="X64" s="5">
        <f t="shared" si="2"/>
        <v>100</v>
      </c>
    </row>
    <row r="65" spans="1:24" ht="15" customHeight="1">
      <c r="A65" s="6">
        <v>46054</v>
      </c>
      <c r="B65" s="1" t="s">
        <v>61</v>
      </c>
      <c r="C65" s="1" t="s">
        <v>122</v>
      </c>
      <c r="D65" s="1" t="s">
        <v>216</v>
      </c>
      <c r="E65" s="1" t="s">
        <v>203</v>
      </c>
      <c r="F65" s="1" t="s">
        <v>217</v>
      </c>
      <c r="G65" s="1" t="s">
        <v>218</v>
      </c>
      <c r="H65" s="1" t="s">
        <v>54</v>
      </c>
      <c r="I65" s="2">
        <v>2</v>
      </c>
      <c r="J65" s="2">
        <v>38614084</v>
      </c>
      <c r="K65" s="2">
        <v>101360.64</v>
      </c>
      <c r="L65" s="2">
        <v>0</v>
      </c>
      <c r="M65" s="2">
        <v>0</v>
      </c>
      <c r="N65" s="2">
        <v>113</v>
      </c>
      <c r="O65" s="2">
        <v>38715557.640000001</v>
      </c>
      <c r="P65" s="1" t="s">
        <v>25</v>
      </c>
      <c r="Q65" s="1" t="s">
        <v>35</v>
      </c>
      <c r="R65" s="1" t="s">
        <v>66</v>
      </c>
      <c r="S65" s="1">
        <v>1</v>
      </c>
      <c r="T65" s="1">
        <v>0</v>
      </c>
      <c r="U65" s="1">
        <f t="shared" si="4"/>
        <v>1</v>
      </c>
      <c r="V65" s="1">
        <v>0</v>
      </c>
      <c r="W65" s="1">
        <f t="shared" si="1"/>
        <v>1</v>
      </c>
      <c r="X65" s="5">
        <f t="shared" ref="X65:X128" si="9">100/U65*S65</f>
        <v>100</v>
      </c>
    </row>
    <row r="66" spans="1:24" ht="15" customHeight="1">
      <c r="A66" s="6">
        <v>46054</v>
      </c>
      <c r="B66" s="1" t="s">
        <v>49</v>
      </c>
      <c r="C66" s="1" t="s">
        <v>219</v>
      </c>
      <c r="D66" s="1" t="s">
        <v>220</v>
      </c>
      <c r="E66" s="1" t="s">
        <v>73</v>
      </c>
      <c r="F66" s="1" t="s">
        <v>221</v>
      </c>
      <c r="G66" s="1" t="s">
        <v>34</v>
      </c>
      <c r="H66" s="1" t="s">
        <v>54</v>
      </c>
      <c r="I66" s="2">
        <v>15</v>
      </c>
      <c r="J66" s="2">
        <v>53026774</v>
      </c>
      <c r="K66" s="2">
        <v>331372</v>
      </c>
      <c r="L66" s="2">
        <v>0</v>
      </c>
      <c r="M66" s="2">
        <v>0</v>
      </c>
      <c r="N66" s="2">
        <v>28183</v>
      </c>
      <c r="O66" s="2">
        <v>53386329</v>
      </c>
      <c r="P66" s="1" t="s">
        <v>25</v>
      </c>
      <c r="Q66" s="1" t="s">
        <v>35</v>
      </c>
      <c r="R66" s="1" t="s">
        <v>66</v>
      </c>
      <c r="S66" s="1">
        <v>1</v>
      </c>
      <c r="T66" s="1">
        <v>0</v>
      </c>
      <c r="U66" s="1">
        <f t="shared" ref="U66:U122" si="10">T66+S66</f>
        <v>1</v>
      </c>
      <c r="V66" s="1">
        <v>0</v>
      </c>
      <c r="W66" s="1">
        <f t="shared" ref="W66:W129" si="11">V66+U66</f>
        <v>1</v>
      </c>
      <c r="X66" s="5">
        <f t="shared" si="9"/>
        <v>100</v>
      </c>
    </row>
    <row r="67" spans="1:24">
      <c r="A67" s="6">
        <v>46054</v>
      </c>
      <c r="B67" s="1" t="s">
        <v>49</v>
      </c>
      <c r="C67" s="1" t="s">
        <v>219</v>
      </c>
      <c r="D67" s="1" t="s">
        <v>222</v>
      </c>
      <c r="E67" s="1" t="s">
        <v>223</v>
      </c>
      <c r="F67" s="1" t="s">
        <v>224</v>
      </c>
      <c r="G67" s="1" t="s">
        <v>225</v>
      </c>
      <c r="H67" s="1" t="s">
        <v>54</v>
      </c>
      <c r="I67" s="2">
        <v>31.5</v>
      </c>
      <c r="J67" s="2">
        <v>52566175</v>
      </c>
      <c r="K67" s="2">
        <v>2807</v>
      </c>
      <c r="L67" s="2">
        <v>0</v>
      </c>
      <c r="M67" s="2">
        <v>0</v>
      </c>
      <c r="N67" s="2">
        <v>357</v>
      </c>
      <c r="O67" s="2">
        <v>52569339</v>
      </c>
      <c r="P67" s="1" t="s">
        <v>25</v>
      </c>
      <c r="Q67" s="1" t="s">
        <v>35</v>
      </c>
      <c r="R67" s="1" t="s">
        <v>66</v>
      </c>
      <c r="S67" s="1">
        <v>1</v>
      </c>
      <c r="T67" s="1">
        <v>0</v>
      </c>
      <c r="U67" s="1">
        <f t="shared" si="10"/>
        <v>1</v>
      </c>
      <c r="V67" s="1">
        <v>0</v>
      </c>
      <c r="W67" s="1">
        <f t="shared" si="11"/>
        <v>1</v>
      </c>
      <c r="X67" s="5">
        <f t="shared" si="9"/>
        <v>100</v>
      </c>
    </row>
    <row r="68" spans="1:24">
      <c r="A68" s="6">
        <v>46054</v>
      </c>
      <c r="B68" s="1" t="s">
        <v>61</v>
      </c>
      <c r="C68" s="1" t="s">
        <v>219</v>
      </c>
      <c r="D68" s="1" t="s">
        <v>226</v>
      </c>
      <c r="E68" s="1" t="s">
        <v>227</v>
      </c>
      <c r="F68" s="1" t="s">
        <v>228</v>
      </c>
      <c r="G68" s="1" t="s">
        <v>43</v>
      </c>
      <c r="H68" s="1" t="s">
        <v>54</v>
      </c>
      <c r="I68" s="2">
        <v>10</v>
      </c>
      <c r="J68" s="2">
        <v>49445758</v>
      </c>
      <c r="K68" s="2">
        <v>166863.4</v>
      </c>
      <c r="L68" s="2">
        <v>0</v>
      </c>
      <c r="M68" s="2">
        <v>0</v>
      </c>
      <c r="N68" s="2">
        <v>100</v>
      </c>
      <c r="O68" s="2">
        <v>49612721.399999999</v>
      </c>
      <c r="P68" s="1" t="s">
        <v>25</v>
      </c>
      <c r="Q68" s="1" t="s">
        <v>35</v>
      </c>
      <c r="R68" s="1" t="s">
        <v>229</v>
      </c>
      <c r="S68" s="1">
        <v>1</v>
      </c>
      <c r="T68" s="1">
        <v>0</v>
      </c>
      <c r="U68" s="1">
        <f t="shared" si="10"/>
        <v>1</v>
      </c>
      <c r="V68" s="1">
        <v>0</v>
      </c>
      <c r="W68" s="1">
        <f t="shared" si="11"/>
        <v>1</v>
      </c>
      <c r="X68" s="5">
        <f t="shared" si="9"/>
        <v>100</v>
      </c>
    </row>
    <row r="69" spans="1:24">
      <c r="A69" s="6">
        <v>46054</v>
      </c>
      <c r="B69" s="1" t="s">
        <v>61</v>
      </c>
      <c r="C69" s="1" t="s">
        <v>219</v>
      </c>
      <c r="D69" s="1" t="s">
        <v>230</v>
      </c>
      <c r="E69" s="1" t="s">
        <v>73</v>
      </c>
      <c r="F69" s="1" t="s">
        <v>231</v>
      </c>
      <c r="G69" s="1" t="s">
        <v>232</v>
      </c>
      <c r="H69" s="1" t="s">
        <v>54</v>
      </c>
      <c r="I69" s="2">
        <v>15</v>
      </c>
      <c r="J69" s="2">
        <v>50059538</v>
      </c>
      <c r="K69" s="2">
        <v>168234.4</v>
      </c>
      <c r="L69" s="2">
        <v>0</v>
      </c>
      <c r="M69" s="2">
        <v>0</v>
      </c>
      <c r="N69" s="2">
        <v>158</v>
      </c>
      <c r="O69" s="2">
        <v>50227930.399999999</v>
      </c>
      <c r="P69" s="1" t="s">
        <v>25</v>
      </c>
      <c r="Q69" s="1" t="s">
        <v>35</v>
      </c>
      <c r="R69" s="1" t="s">
        <v>66</v>
      </c>
      <c r="S69" s="1">
        <v>1</v>
      </c>
      <c r="T69" s="1">
        <v>0</v>
      </c>
      <c r="U69" s="1">
        <f t="shared" si="10"/>
        <v>1</v>
      </c>
      <c r="V69" s="1">
        <v>0</v>
      </c>
      <c r="W69" s="1">
        <f t="shared" si="11"/>
        <v>1</v>
      </c>
      <c r="X69" s="5">
        <f t="shared" si="9"/>
        <v>100</v>
      </c>
    </row>
    <row r="70" spans="1:24">
      <c r="A70" s="6">
        <v>46054</v>
      </c>
      <c r="B70" s="1" t="s">
        <v>61</v>
      </c>
      <c r="C70" s="1" t="s">
        <v>219</v>
      </c>
      <c r="D70" s="1" t="s">
        <v>233</v>
      </c>
      <c r="E70" s="1" t="s">
        <v>73</v>
      </c>
      <c r="F70" s="1" t="s">
        <v>234</v>
      </c>
      <c r="G70" s="1" t="s">
        <v>43</v>
      </c>
      <c r="H70" s="1" t="s">
        <v>54</v>
      </c>
      <c r="I70" s="2">
        <v>15</v>
      </c>
      <c r="J70" s="2">
        <v>49896148</v>
      </c>
      <c r="K70" s="2">
        <v>165955.42000000001</v>
      </c>
      <c r="L70" s="2">
        <v>0</v>
      </c>
      <c r="M70" s="2">
        <v>0</v>
      </c>
      <c r="N70" s="2">
        <v>183</v>
      </c>
      <c r="O70" s="2">
        <v>50062286.420000002</v>
      </c>
      <c r="P70" s="1" t="s">
        <v>25</v>
      </c>
      <c r="Q70" s="1" t="s">
        <v>35</v>
      </c>
      <c r="R70" s="1" t="s">
        <v>66</v>
      </c>
      <c r="S70" s="1">
        <v>1</v>
      </c>
      <c r="T70" s="1">
        <v>0</v>
      </c>
      <c r="U70" s="1">
        <f t="shared" si="10"/>
        <v>1</v>
      </c>
      <c r="V70" s="1">
        <v>0</v>
      </c>
      <c r="W70" s="1">
        <f t="shared" si="11"/>
        <v>1</v>
      </c>
      <c r="X70" s="5">
        <f t="shared" si="9"/>
        <v>100</v>
      </c>
    </row>
    <row r="71" spans="1:24">
      <c r="A71" s="6">
        <v>46054</v>
      </c>
      <c r="B71" s="1" t="s">
        <v>61</v>
      </c>
      <c r="C71" s="1" t="s">
        <v>219</v>
      </c>
      <c r="D71" s="1" t="s">
        <v>235</v>
      </c>
      <c r="E71" s="1" t="s">
        <v>236</v>
      </c>
      <c r="F71" s="1" t="s">
        <v>237</v>
      </c>
      <c r="G71" s="1" t="s">
        <v>238</v>
      </c>
      <c r="H71" s="1" t="s">
        <v>54</v>
      </c>
      <c r="I71" s="2">
        <v>4</v>
      </c>
      <c r="J71" s="2">
        <v>45828968</v>
      </c>
      <c r="K71" s="2">
        <v>165961.42000000001</v>
      </c>
      <c r="L71" s="2">
        <v>0</v>
      </c>
      <c r="M71" s="2">
        <v>0</v>
      </c>
      <c r="N71" s="2">
        <v>183</v>
      </c>
      <c r="O71" s="2">
        <v>45995112.420000002</v>
      </c>
      <c r="P71" s="1" t="s">
        <v>25</v>
      </c>
      <c r="Q71" s="1" t="s">
        <v>35</v>
      </c>
      <c r="R71" s="1" t="s">
        <v>66</v>
      </c>
      <c r="S71" s="1">
        <v>1</v>
      </c>
      <c r="T71" s="1">
        <v>0</v>
      </c>
      <c r="U71" s="1">
        <f t="shared" si="10"/>
        <v>1</v>
      </c>
      <c r="V71" s="1">
        <v>0</v>
      </c>
      <c r="W71" s="1">
        <f t="shared" si="11"/>
        <v>1</v>
      </c>
      <c r="X71" s="5">
        <f t="shared" si="9"/>
        <v>100</v>
      </c>
    </row>
    <row r="72" spans="1:24">
      <c r="A72" s="6">
        <v>46054</v>
      </c>
      <c r="B72" s="1" t="s">
        <v>61</v>
      </c>
      <c r="C72" s="1" t="s">
        <v>219</v>
      </c>
      <c r="D72" s="1" t="s">
        <v>239</v>
      </c>
      <c r="E72" s="1" t="s">
        <v>240</v>
      </c>
      <c r="F72" s="1" t="s">
        <v>241</v>
      </c>
      <c r="G72" s="1" t="s">
        <v>242</v>
      </c>
      <c r="H72" s="1" t="s">
        <v>54</v>
      </c>
      <c r="I72" s="2">
        <v>3.5</v>
      </c>
      <c r="J72" s="2">
        <v>46380123</v>
      </c>
      <c r="K72" s="2">
        <v>164589.42000000001</v>
      </c>
      <c r="L72" s="2">
        <v>0</v>
      </c>
      <c r="M72" s="2">
        <v>0</v>
      </c>
      <c r="N72" s="2">
        <v>125</v>
      </c>
      <c r="O72" s="2">
        <v>46544837.420000002</v>
      </c>
      <c r="P72" s="1" t="s">
        <v>25</v>
      </c>
      <c r="Q72" s="1" t="s">
        <v>35</v>
      </c>
      <c r="R72" s="1" t="s">
        <v>66</v>
      </c>
      <c r="S72" s="1">
        <v>1</v>
      </c>
      <c r="T72" s="1">
        <v>0</v>
      </c>
      <c r="U72" s="1">
        <f t="shared" si="10"/>
        <v>1</v>
      </c>
      <c r="V72" s="1">
        <v>0</v>
      </c>
      <c r="W72" s="1">
        <f t="shared" si="11"/>
        <v>1</v>
      </c>
      <c r="X72" s="5">
        <f t="shared" si="9"/>
        <v>100</v>
      </c>
    </row>
    <row r="73" spans="1:24">
      <c r="A73" s="6">
        <v>46054</v>
      </c>
      <c r="B73" s="1" t="s">
        <v>61</v>
      </c>
      <c r="C73" s="1" t="s">
        <v>219</v>
      </c>
      <c r="D73" s="1" t="s">
        <v>243</v>
      </c>
      <c r="E73" s="1" t="s">
        <v>244</v>
      </c>
      <c r="F73" s="1" t="s">
        <v>245</v>
      </c>
      <c r="G73" s="1" t="s">
        <v>43</v>
      </c>
      <c r="H73" s="1" t="s">
        <v>54</v>
      </c>
      <c r="I73" s="2">
        <v>5</v>
      </c>
      <c r="J73" s="2">
        <v>46174350</v>
      </c>
      <c r="K73" s="2">
        <v>164414.42000000001</v>
      </c>
      <c r="L73" s="2">
        <v>0</v>
      </c>
      <c r="M73" s="2">
        <v>0</v>
      </c>
      <c r="N73" s="2">
        <v>118</v>
      </c>
      <c r="O73" s="2">
        <v>46338882.420000002</v>
      </c>
      <c r="P73" s="1" t="s">
        <v>25</v>
      </c>
      <c r="Q73" s="1" t="s">
        <v>35</v>
      </c>
      <c r="R73" s="1" t="s">
        <v>66</v>
      </c>
      <c r="S73" s="1">
        <v>1</v>
      </c>
      <c r="T73" s="1">
        <v>0</v>
      </c>
      <c r="U73" s="1">
        <f t="shared" si="10"/>
        <v>1</v>
      </c>
      <c r="V73" s="1">
        <v>0</v>
      </c>
      <c r="W73" s="1">
        <f t="shared" si="11"/>
        <v>1</v>
      </c>
      <c r="X73" s="5">
        <f t="shared" si="9"/>
        <v>100</v>
      </c>
    </row>
    <row r="74" spans="1:24">
      <c r="A74" s="6">
        <v>46054</v>
      </c>
      <c r="B74" s="1" t="s">
        <v>61</v>
      </c>
      <c r="C74" s="1" t="s">
        <v>219</v>
      </c>
      <c r="D74" s="1" t="s">
        <v>246</v>
      </c>
      <c r="E74" s="1" t="s">
        <v>247</v>
      </c>
      <c r="F74" s="1" t="s">
        <v>248</v>
      </c>
      <c r="G74" s="1" t="s">
        <v>249</v>
      </c>
      <c r="H74" s="1" t="s">
        <v>54</v>
      </c>
      <c r="I74" s="2">
        <v>21</v>
      </c>
      <c r="J74" s="2">
        <v>50959360</v>
      </c>
      <c r="K74" s="2">
        <v>164453.42000000001</v>
      </c>
      <c r="L74" s="2">
        <v>0</v>
      </c>
      <c r="M74" s="2">
        <v>0</v>
      </c>
      <c r="N74" s="2">
        <v>119</v>
      </c>
      <c r="O74" s="2">
        <v>51123932.420000002</v>
      </c>
      <c r="P74" s="1" t="s">
        <v>25</v>
      </c>
      <c r="Q74" s="1" t="s">
        <v>35</v>
      </c>
      <c r="R74" s="1" t="s">
        <v>66</v>
      </c>
      <c r="S74" s="1">
        <v>1</v>
      </c>
      <c r="T74" s="1">
        <v>0</v>
      </c>
      <c r="U74" s="1">
        <f t="shared" si="10"/>
        <v>1</v>
      </c>
      <c r="V74" s="1">
        <v>0</v>
      </c>
      <c r="W74" s="1">
        <f t="shared" si="11"/>
        <v>1</v>
      </c>
      <c r="X74" s="5">
        <f t="shared" si="9"/>
        <v>100</v>
      </c>
    </row>
    <row r="75" spans="1:24">
      <c r="A75" s="6">
        <v>46054</v>
      </c>
      <c r="B75" s="1" t="s">
        <v>61</v>
      </c>
      <c r="C75" s="1" t="s">
        <v>219</v>
      </c>
      <c r="D75" s="1" t="s">
        <v>250</v>
      </c>
      <c r="E75" s="1" t="s">
        <v>251</v>
      </c>
      <c r="F75" s="1" t="s">
        <v>252</v>
      </c>
      <c r="G75" s="1" t="s">
        <v>253</v>
      </c>
      <c r="H75" s="1" t="s">
        <v>54</v>
      </c>
      <c r="I75" s="2">
        <v>12.6</v>
      </c>
      <c r="J75" s="2">
        <v>46652424</v>
      </c>
      <c r="K75" s="2">
        <v>164618.42000000001</v>
      </c>
      <c r="L75" s="2">
        <v>0</v>
      </c>
      <c r="M75" s="2">
        <v>0</v>
      </c>
      <c r="N75" s="2">
        <v>126</v>
      </c>
      <c r="O75" s="2">
        <v>46817168.420000002</v>
      </c>
      <c r="P75" s="1" t="s">
        <v>25</v>
      </c>
      <c r="Q75" s="1" t="s">
        <v>35</v>
      </c>
      <c r="R75" s="1" t="s">
        <v>66</v>
      </c>
      <c r="S75" s="1">
        <v>1</v>
      </c>
      <c r="T75" s="1">
        <v>0</v>
      </c>
      <c r="U75" s="1">
        <f t="shared" si="10"/>
        <v>1</v>
      </c>
      <c r="V75" s="1">
        <v>0</v>
      </c>
      <c r="W75" s="1">
        <f t="shared" si="11"/>
        <v>1</v>
      </c>
      <c r="X75" s="5">
        <f t="shared" si="9"/>
        <v>100</v>
      </c>
    </row>
    <row r="76" spans="1:24">
      <c r="A76" s="6">
        <v>46054</v>
      </c>
      <c r="B76" s="1" t="s">
        <v>61</v>
      </c>
      <c r="C76" s="1" t="s">
        <v>219</v>
      </c>
      <c r="D76" s="1" t="s">
        <v>254</v>
      </c>
      <c r="E76" s="1" t="s">
        <v>255</v>
      </c>
      <c r="F76" s="1" t="s">
        <v>256</v>
      </c>
      <c r="G76" s="1" t="s">
        <v>257</v>
      </c>
      <c r="H76" s="1" t="s">
        <v>54</v>
      </c>
      <c r="I76" s="2">
        <v>4.5</v>
      </c>
      <c r="J76" s="2">
        <v>46398560</v>
      </c>
      <c r="K76" s="2">
        <v>164533.42000000001</v>
      </c>
      <c r="L76" s="2">
        <v>0</v>
      </c>
      <c r="M76" s="2">
        <v>0</v>
      </c>
      <c r="N76" s="2">
        <v>123</v>
      </c>
      <c r="O76" s="2">
        <v>46563216.420000002</v>
      </c>
      <c r="P76" s="1" t="s">
        <v>25</v>
      </c>
      <c r="Q76" s="1" t="s">
        <v>35</v>
      </c>
      <c r="R76" s="1" t="s">
        <v>66</v>
      </c>
      <c r="S76" s="1">
        <v>0</v>
      </c>
      <c r="T76" s="1">
        <v>1</v>
      </c>
      <c r="U76" s="1">
        <f t="shared" si="10"/>
        <v>1</v>
      </c>
      <c r="V76" s="1">
        <v>0</v>
      </c>
      <c r="W76" s="1">
        <f t="shared" si="11"/>
        <v>1</v>
      </c>
      <c r="X76" s="5">
        <f t="shared" si="9"/>
        <v>0</v>
      </c>
    </row>
    <row r="77" spans="1:24">
      <c r="A77" s="6">
        <v>46054</v>
      </c>
      <c r="B77" s="1" t="s">
        <v>61</v>
      </c>
      <c r="C77" s="1" t="s">
        <v>219</v>
      </c>
      <c r="D77" s="1" t="s">
        <v>258</v>
      </c>
      <c r="E77" s="1" t="s">
        <v>247</v>
      </c>
      <c r="F77" s="1" t="s">
        <v>259</v>
      </c>
      <c r="G77" s="1" t="s">
        <v>43</v>
      </c>
      <c r="H77" s="1" t="s">
        <v>54</v>
      </c>
      <c r="I77" s="2">
        <v>7.5</v>
      </c>
      <c r="J77" s="2">
        <v>46161609</v>
      </c>
      <c r="K77" s="2">
        <v>164533.42000000001</v>
      </c>
      <c r="L77" s="2">
        <v>0</v>
      </c>
      <c r="M77" s="2">
        <v>0</v>
      </c>
      <c r="N77" s="2">
        <v>123</v>
      </c>
      <c r="O77" s="2">
        <v>46326265.420000002</v>
      </c>
      <c r="P77" s="1" t="s">
        <v>25</v>
      </c>
      <c r="Q77" s="1" t="s">
        <v>35</v>
      </c>
      <c r="R77" s="1" t="s">
        <v>66</v>
      </c>
      <c r="S77" s="1">
        <v>0</v>
      </c>
      <c r="T77" s="1">
        <v>1</v>
      </c>
      <c r="U77" s="1">
        <f t="shared" si="10"/>
        <v>1</v>
      </c>
      <c r="V77" s="1">
        <v>0</v>
      </c>
      <c r="W77" s="1">
        <f t="shared" si="11"/>
        <v>1</v>
      </c>
      <c r="X77" s="5">
        <f t="shared" si="9"/>
        <v>0</v>
      </c>
    </row>
    <row r="78" spans="1:24">
      <c r="A78" s="6">
        <v>46054</v>
      </c>
      <c r="B78" s="1" t="s">
        <v>61</v>
      </c>
      <c r="C78" s="1" t="s">
        <v>219</v>
      </c>
      <c r="D78" s="1" t="s">
        <v>260</v>
      </c>
      <c r="E78" s="1" t="s">
        <v>240</v>
      </c>
      <c r="F78" s="1" t="s">
        <v>261</v>
      </c>
      <c r="G78" s="1" t="s">
        <v>262</v>
      </c>
      <c r="H78" s="1" t="s">
        <v>54</v>
      </c>
      <c r="I78" s="2">
        <v>1.8</v>
      </c>
      <c r="J78" s="2">
        <v>48577614</v>
      </c>
      <c r="K78" s="2">
        <v>164414.42000000001</v>
      </c>
      <c r="L78" s="2">
        <v>0</v>
      </c>
      <c r="M78" s="2">
        <v>0</v>
      </c>
      <c r="N78" s="2">
        <v>118</v>
      </c>
      <c r="O78" s="2">
        <v>48742146.420000002</v>
      </c>
      <c r="P78" s="1" t="s">
        <v>25</v>
      </c>
      <c r="Q78" s="1" t="s">
        <v>35</v>
      </c>
      <c r="R78" s="1" t="s">
        <v>66</v>
      </c>
      <c r="S78" s="1">
        <v>1</v>
      </c>
      <c r="T78" s="1">
        <v>0</v>
      </c>
      <c r="U78" s="1">
        <f t="shared" si="10"/>
        <v>1</v>
      </c>
      <c r="V78" s="1">
        <v>0</v>
      </c>
      <c r="W78" s="1">
        <f t="shared" si="11"/>
        <v>1</v>
      </c>
      <c r="X78" s="5">
        <f t="shared" si="9"/>
        <v>100</v>
      </c>
    </row>
    <row r="79" spans="1:24" ht="15" customHeight="1">
      <c r="A79" s="6">
        <v>46054</v>
      </c>
      <c r="B79" s="1" t="s">
        <v>61</v>
      </c>
      <c r="C79" s="1" t="s">
        <v>219</v>
      </c>
      <c r="D79" s="1" t="s">
        <v>263</v>
      </c>
      <c r="E79" s="1" t="s">
        <v>247</v>
      </c>
      <c r="F79" s="1" t="s">
        <v>264</v>
      </c>
      <c r="G79" s="1" t="s">
        <v>265</v>
      </c>
      <c r="H79" s="1" t="s">
        <v>54</v>
      </c>
      <c r="I79" s="2">
        <v>2.4</v>
      </c>
      <c r="J79" s="2">
        <v>50180678</v>
      </c>
      <c r="K79" s="2">
        <v>164563.42000000001</v>
      </c>
      <c r="L79" s="2">
        <v>0</v>
      </c>
      <c r="M79" s="2">
        <v>0</v>
      </c>
      <c r="N79" s="2">
        <v>124</v>
      </c>
      <c r="O79" s="2">
        <v>50345365.420000002</v>
      </c>
      <c r="P79" s="1" t="s">
        <v>25</v>
      </c>
      <c r="Q79" s="1" t="s">
        <v>35</v>
      </c>
      <c r="R79" s="1" t="s">
        <v>66</v>
      </c>
      <c r="S79" s="1">
        <v>0</v>
      </c>
      <c r="T79" s="1">
        <v>1</v>
      </c>
      <c r="U79" s="1">
        <f t="shared" si="10"/>
        <v>1</v>
      </c>
      <c r="V79" s="1">
        <v>0</v>
      </c>
      <c r="W79" s="1">
        <f t="shared" si="11"/>
        <v>1</v>
      </c>
      <c r="X79" s="5">
        <f t="shared" si="9"/>
        <v>0</v>
      </c>
    </row>
    <row r="80" spans="1:24" ht="15" customHeight="1">
      <c r="A80" s="6">
        <v>46054</v>
      </c>
      <c r="B80" s="1" t="s">
        <v>61</v>
      </c>
      <c r="C80" s="1" t="s">
        <v>219</v>
      </c>
      <c r="D80" s="1" t="s">
        <v>266</v>
      </c>
      <c r="E80" s="1" t="s">
        <v>240</v>
      </c>
      <c r="F80" s="1" t="s">
        <v>267</v>
      </c>
      <c r="G80" s="1" t="s">
        <v>268</v>
      </c>
      <c r="H80" s="1" t="s">
        <v>54</v>
      </c>
      <c r="I80" s="2">
        <v>4.0999999999999996</v>
      </c>
      <c r="J80" s="2">
        <v>46608400</v>
      </c>
      <c r="K80" s="2">
        <v>165231.42000000001</v>
      </c>
      <c r="L80" s="2">
        <v>0</v>
      </c>
      <c r="M80" s="2">
        <v>0</v>
      </c>
      <c r="N80" s="2">
        <v>152</v>
      </c>
      <c r="O80" s="2">
        <v>46773783.420000002</v>
      </c>
      <c r="P80" s="1" t="s">
        <v>25</v>
      </c>
      <c r="Q80" s="1" t="s">
        <v>35</v>
      </c>
      <c r="R80" s="1" t="s">
        <v>66</v>
      </c>
      <c r="S80" s="1">
        <v>0</v>
      </c>
      <c r="T80" s="1">
        <v>1</v>
      </c>
      <c r="U80" s="1">
        <f t="shared" si="10"/>
        <v>1</v>
      </c>
      <c r="V80" s="1">
        <v>0</v>
      </c>
      <c r="W80" s="1">
        <f t="shared" si="11"/>
        <v>1</v>
      </c>
      <c r="X80" s="5">
        <f t="shared" si="9"/>
        <v>0</v>
      </c>
    </row>
    <row r="81" spans="1:24" ht="15" customHeight="1">
      <c r="A81" s="6">
        <v>46054</v>
      </c>
      <c r="B81" s="1" t="s">
        <v>18</v>
      </c>
      <c r="C81" s="1" t="s">
        <v>269</v>
      </c>
      <c r="D81" s="1" t="s">
        <v>270</v>
      </c>
      <c r="E81" s="1" t="s">
        <v>271</v>
      </c>
      <c r="F81" s="1" t="s">
        <v>272</v>
      </c>
      <c r="G81" s="1" t="s">
        <v>273</v>
      </c>
      <c r="H81" s="1" t="s">
        <v>24</v>
      </c>
      <c r="I81" s="2">
        <v>18.649999999999999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1" t="s">
        <v>25</v>
      </c>
      <c r="Q81" s="1" t="s">
        <v>26</v>
      </c>
      <c r="R81" s="1" t="s">
        <v>274</v>
      </c>
      <c r="S81" s="1">
        <v>0</v>
      </c>
      <c r="T81" s="1">
        <v>0</v>
      </c>
      <c r="U81" s="1">
        <f t="shared" si="10"/>
        <v>0</v>
      </c>
      <c r="V81" s="1">
        <v>1</v>
      </c>
      <c r="W81" s="1">
        <f t="shared" si="11"/>
        <v>1</v>
      </c>
      <c r="X81" s="5" t="e">
        <f t="shared" si="9"/>
        <v>#DIV/0!</v>
      </c>
    </row>
    <row r="82" spans="1:24" ht="15" customHeight="1">
      <c r="A82" s="6">
        <v>46054</v>
      </c>
      <c r="B82" s="1" t="s">
        <v>18</v>
      </c>
      <c r="C82" s="1" t="s">
        <v>269</v>
      </c>
      <c r="D82" s="1" t="s">
        <v>275</v>
      </c>
      <c r="E82" s="1" t="s">
        <v>276</v>
      </c>
      <c r="F82" s="1" t="s">
        <v>277</v>
      </c>
      <c r="G82" s="1" t="s">
        <v>34</v>
      </c>
      <c r="H82" s="1" t="s">
        <v>24</v>
      </c>
      <c r="I82" s="2">
        <v>21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1" t="s">
        <v>25</v>
      </c>
      <c r="Q82" s="1" t="s">
        <v>26</v>
      </c>
      <c r="R82" s="1" t="s">
        <v>274</v>
      </c>
      <c r="S82" s="1">
        <v>0</v>
      </c>
      <c r="T82" s="1">
        <v>0</v>
      </c>
      <c r="U82" s="1">
        <f t="shared" si="10"/>
        <v>0</v>
      </c>
      <c r="V82" s="1">
        <v>1</v>
      </c>
      <c r="W82" s="1">
        <f t="shared" si="11"/>
        <v>1</v>
      </c>
      <c r="X82" s="5" t="e">
        <f t="shared" si="9"/>
        <v>#DIV/0!</v>
      </c>
    </row>
    <row r="83" spans="1:24" ht="15" customHeight="1">
      <c r="A83" s="6">
        <v>46054</v>
      </c>
      <c r="B83" s="1" t="s">
        <v>49</v>
      </c>
      <c r="C83" s="1" t="s">
        <v>269</v>
      </c>
      <c r="D83" s="1" t="s">
        <v>278</v>
      </c>
      <c r="E83" s="1" t="s">
        <v>276</v>
      </c>
      <c r="F83" s="1" t="s">
        <v>279</v>
      </c>
      <c r="G83" s="1" t="s">
        <v>280</v>
      </c>
      <c r="H83" s="1" t="s">
        <v>24</v>
      </c>
      <c r="I83" s="2">
        <v>30</v>
      </c>
      <c r="J83" s="2">
        <v>355321</v>
      </c>
      <c r="K83" s="2">
        <v>55375</v>
      </c>
      <c r="L83" s="2">
        <v>100000</v>
      </c>
      <c r="M83" s="2">
        <v>0</v>
      </c>
      <c r="N83" s="2">
        <v>8192</v>
      </c>
      <c r="O83" s="2">
        <v>318888</v>
      </c>
      <c r="P83" s="1" t="s">
        <v>25</v>
      </c>
      <c r="Q83" s="1" t="s">
        <v>35</v>
      </c>
      <c r="R83" s="1" t="s">
        <v>274</v>
      </c>
      <c r="S83" s="1">
        <v>1</v>
      </c>
      <c r="T83" s="1">
        <v>0</v>
      </c>
      <c r="U83" s="1">
        <f t="shared" si="10"/>
        <v>1</v>
      </c>
      <c r="V83" s="1">
        <v>0</v>
      </c>
      <c r="W83" s="1">
        <f t="shared" si="11"/>
        <v>1</v>
      </c>
      <c r="X83" s="5">
        <f t="shared" si="9"/>
        <v>100</v>
      </c>
    </row>
    <row r="84" spans="1:24" ht="15" customHeight="1">
      <c r="A84" s="6">
        <v>46054</v>
      </c>
      <c r="B84" s="1" t="s">
        <v>61</v>
      </c>
      <c r="C84" s="1" t="s">
        <v>269</v>
      </c>
      <c r="D84" s="1" t="s">
        <v>281</v>
      </c>
      <c r="E84" s="1" t="s">
        <v>282</v>
      </c>
      <c r="F84" s="1" t="s">
        <v>283</v>
      </c>
      <c r="G84" s="1" t="s">
        <v>34</v>
      </c>
      <c r="H84" s="1" t="s">
        <v>24</v>
      </c>
      <c r="I84" s="2">
        <v>5</v>
      </c>
      <c r="J84" s="2">
        <v>296488</v>
      </c>
      <c r="K84" s="2">
        <v>1180</v>
      </c>
      <c r="L84" s="2">
        <v>0</v>
      </c>
      <c r="M84" s="2">
        <v>0</v>
      </c>
      <c r="N84" s="2">
        <v>50</v>
      </c>
      <c r="O84" s="2">
        <v>297718</v>
      </c>
      <c r="P84" s="1" t="s">
        <v>25</v>
      </c>
      <c r="Q84" s="1" t="s">
        <v>35</v>
      </c>
      <c r="R84" s="1" t="s">
        <v>284</v>
      </c>
      <c r="S84" s="1">
        <v>1</v>
      </c>
      <c r="T84" s="1">
        <v>0</v>
      </c>
      <c r="U84" s="1">
        <f t="shared" si="10"/>
        <v>1</v>
      </c>
      <c r="V84" s="1">
        <v>0</v>
      </c>
      <c r="W84" s="1">
        <f t="shared" si="11"/>
        <v>1</v>
      </c>
      <c r="X84" s="5">
        <f t="shared" si="9"/>
        <v>100</v>
      </c>
    </row>
    <row r="85" spans="1:24" ht="15" customHeight="1">
      <c r="A85" s="6">
        <v>46054</v>
      </c>
      <c r="B85" s="1" t="s">
        <v>18</v>
      </c>
      <c r="C85" s="1" t="s">
        <v>285</v>
      </c>
      <c r="D85" s="1" t="s">
        <v>286</v>
      </c>
      <c r="E85" s="1" t="s">
        <v>287</v>
      </c>
      <c r="F85" s="1" t="s">
        <v>245</v>
      </c>
      <c r="G85" s="1" t="s">
        <v>43</v>
      </c>
      <c r="H85" s="1" t="s">
        <v>24</v>
      </c>
      <c r="I85" s="2">
        <v>0.54</v>
      </c>
      <c r="J85" s="2">
        <v>137545</v>
      </c>
      <c r="K85" s="2">
        <v>11337</v>
      </c>
      <c r="L85" s="2">
        <v>0</v>
      </c>
      <c r="M85" s="2">
        <v>0</v>
      </c>
      <c r="N85" s="2">
        <v>1418</v>
      </c>
      <c r="O85" s="2">
        <v>150300</v>
      </c>
      <c r="P85" s="1" t="s">
        <v>25</v>
      </c>
      <c r="Q85" s="1" t="s">
        <v>35</v>
      </c>
      <c r="R85" s="1" t="s">
        <v>288</v>
      </c>
      <c r="S85" s="1">
        <v>1</v>
      </c>
      <c r="T85" s="1">
        <v>0</v>
      </c>
      <c r="U85" s="1">
        <f t="shared" si="10"/>
        <v>1</v>
      </c>
      <c r="V85" s="1">
        <v>0</v>
      </c>
      <c r="W85" s="1">
        <f t="shared" si="11"/>
        <v>1</v>
      </c>
      <c r="X85" s="5">
        <f t="shared" si="9"/>
        <v>100</v>
      </c>
    </row>
    <row r="86" spans="1:24" ht="15" customHeight="1">
      <c r="A86" s="6">
        <v>46054</v>
      </c>
      <c r="B86" s="1" t="s">
        <v>18</v>
      </c>
      <c r="C86" s="1" t="s">
        <v>285</v>
      </c>
      <c r="D86" s="1" t="s">
        <v>289</v>
      </c>
      <c r="E86" s="1" t="s">
        <v>290</v>
      </c>
      <c r="F86" s="1" t="s">
        <v>291</v>
      </c>
      <c r="G86" s="1" t="s">
        <v>43</v>
      </c>
      <c r="H86" s="1" t="s">
        <v>24</v>
      </c>
      <c r="I86" s="2">
        <v>0.9</v>
      </c>
      <c r="J86" s="2">
        <v>110917</v>
      </c>
      <c r="K86" s="2">
        <v>18128</v>
      </c>
      <c r="L86" s="2">
        <v>0</v>
      </c>
      <c r="M86" s="2">
        <v>0</v>
      </c>
      <c r="N86" s="2">
        <v>1016</v>
      </c>
      <c r="O86" s="2">
        <v>130061</v>
      </c>
      <c r="P86" s="1" t="s">
        <v>25</v>
      </c>
      <c r="Q86" s="1" t="s">
        <v>35</v>
      </c>
      <c r="R86" s="1" t="s">
        <v>27</v>
      </c>
      <c r="S86" s="1">
        <v>1</v>
      </c>
      <c r="T86" s="1">
        <v>0</v>
      </c>
      <c r="U86" s="1">
        <f t="shared" si="10"/>
        <v>1</v>
      </c>
      <c r="V86" s="1">
        <v>0</v>
      </c>
      <c r="W86" s="1">
        <f t="shared" si="11"/>
        <v>1</v>
      </c>
      <c r="X86" s="5">
        <f t="shared" si="9"/>
        <v>100</v>
      </c>
    </row>
    <row r="87" spans="1:24" ht="15" customHeight="1">
      <c r="A87" s="6">
        <v>46054</v>
      </c>
      <c r="B87" s="1" t="s">
        <v>18</v>
      </c>
      <c r="C87" s="1" t="s">
        <v>285</v>
      </c>
      <c r="D87" s="1" t="s">
        <v>292</v>
      </c>
      <c r="E87" s="1" t="s">
        <v>293</v>
      </c>
      <c r="F87" s="1" t="s">
        <v>294</v>
      </c>
      <c r="G87" s="1" t="s">
        <v>295</v>
      </c>
      <c r="H87" s="1" t="s">
        <v>24</v>
      </c>
      <c r="I87" s="2">
        <v>0.98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1" t="s">
        <v>25</v>
      </c>
      <c r="Q87" s="1" t="s">
        <v>26</v>
      </c>
      <c r="R87" s="1" t="s">
        <v>27</v>
      </c>
      <c r="S87" s="1">
        <v>0</v>
      </c>
      <c r="T87" s="1">
        <v>0</v>
      </c>
      <c r="U87" s="1">
        <f t="shared" si="10"/>
        <v>0</v>
      </c>
      <c r="V87" s="1">
        <v>1</v>
      </c>
      <c r="W87" s="1">
        <f t="shared" si="11"/>
        <v>1</v>
      </c>
      <c r="X87" s="5" t="e">
        <f t="shared" si="9"/>
        <v>#DIV/0!</v>
      </c>
    </row>
    <row r="88" spans="1:24" ht="15" customHeight="1">
      <c r="A88" s="6">
        <v>46054</v>
      </c>
      <c r="B88" s="1" t="s">
        <v>18</v>
      </c>
      <c r="C88" s="1" t="s">
        <v>285</v>
      </c>
      <c r="D88" s="1" t="s">
        <v>296</v>
      </c>
      <c r="E88" s="1" t="s">
        <v>297</v>
      </c>
      <c r="F88" s="1" t="s">
        <v>298</v>
      </c>
      <c r="G88" s="1"/>
      <c r="H88" s="1" t="s">
        <v>24</v>
      </c>
      <c r="I88" s="2">
        <v>0.98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1" t="s">
        <v>25</v>
      </c>
      <c r="Q88" s="1" t="s">
        <v>26</v>
      </c>
      <c r="R88" s="1" t="s">
        <v>288</v>
      </c>
      <c r="S88" s="1">
        <v>0</v>
      </c>
      <c r="T88" s="1">
        <v>0</v>
      </c>
      <c r="U88" s="1">
        <f t="shared" si="10"/>
        <v>0</v>
      </c>
      <c r="V88" s="1">
        <v>1</v>
      </c>
      <c r="W88" s="1">
        <f t="shared" si="11"/>
        <v>1</v>
      </c>
      <c r="X88" s="5" t="e">
        <f t="shared" si="9"/>
        <v>#DIV/0!</v>
      </c>
    </row>
    <row r="89" spans="1:24" ht="15" customHeight="1">
      <c r="A89" s="6">
        <v>46054</v>
      </c>
      <c r="B89" s="1" t="s">
        <v>18</v>
      </c>
      <c r="C89" s="1" t="s">
        <v>285</v>
      </c>
      <c r="D89" s="1" t="s">
        <v>299</v>
      </c>
      <c r="E89" s="1" t="s">
        <v>300</v>
      </c>
      <c r="F89" s="1" t="s">
        <v>301</v>
      </c>
      <c r="G89" s="1"/>
      <c r="H89" s="1" t="s">
        <v>24</v>
      </c>
      <c r="I89" s="2">
        <v>0.68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1" t="s">
        <v>25</v>
      </c>
      <c r="Q89" s="1" t="s">
        <v>26</v>
      </c>
      <c r="R89" s="1" t="s">
        <v>302</v>
      </c>
      <c r="S89" s="1">
        <v>0</v>
      </c>
      <c r="T89" s="1">
        <v>0</v>
      </c>
      <c r="U89" s="1">
        <f t="shared" si="10"/>
        <v>0</v>
      </c>
      <c r="V89" s="1">
        <v>1</v>
      </c>
      <c r="W89" s="1">
        <f t="shared" si="11"/>
        <v>1</v>
      </c>
      <c r="X89" s="5" t="e">
        <f t="shared" si="9"/>
        <v>#DIV/0!</v>
      </c>
    </row>
    <row r="90" spans="1:24" ht="15" customHeight="1">
      <c r="A90" s="6">
        <v>46054</v>
      </c>
      <c r="B90" s="1" t="s">
        <v>18</v>
      </c>
      <c r="C90" s="1" t="s">
        <v>285</v>
      </c>
      <c r="D90" s="1" t="s">
        <v>303</v>
      </c>
      <c r="E90" s="1" t="s">
        <v>304</v>
      </c>
      <c r="F90" s="1" t="s">
        <v>305</v>
      </c>
      <c r="G90" s="1" t="s">
        <v>306</v>
      </c>
      <c r="H90" s="1" t="s">
        <v>24</v>
      </c>
      <c r="I90" s="2">
        <v>2</v>
      </c>
      <c r="J90" s="2">
        <v>16234</v>
      </c>
      <c r="K90" s="2">
        <v>1180</v>
      </c>
      <c r="L90" s="2">
        <v>0</v>
      </c>
      <c r="M90" s="2">
        <v>0</v>
      </c>
      <c r="N90" s="2">
        <v>100</v>
      </c>
      <c r="O90" s="2">
        <v>17514</v>
      </c>
      <c r="P90" s="1" t="s">
        <v>25</v>
      </c>
      <c r="Q90" s="1" t="s">
        <v>35</v>
      </c>
      <c r="R90" s="1" t="s">
        <v>27</v>
      </c>
      <c r="S90" s="1">
        <v>1</v>
      </c>
      <c r="T90" s="1">
        <v>0</v>
      </c>
      <c r="U90" s="1">
        <f t="shared" si="10"/>
        <v>1</v>
      </c>
      <c r="V90" s="1">
        <v>0</v>
      </c>
      <c r="W90" s="1">
        <f t="shared" si="11"/>
        <v>1</v>
      </c>
      <c r="X90" s="5">
        <f t="shared" si="9"/>
        <v>100</v>
      </c>
    </row>
    <row r="91" spans="1:24" ht="15" customHeight="1">
      <c r="A91" s="6">
        <v>46054</v>
      </c>
      <c r="B91" s="1" t="s">
        <v>18</v>
      </c>
      <c r="C91" s="1" t="s">
        <v>285</v>
      </c>
      <c r="D91" s="1" t="s">
        <v>307</v>
      </c>
      <c r="E91" s="1" t="s">
        <v>308</v>
      </c>
      <c r="F91" s="1" t="s">
        <v>309</v>
      </c>
      <c r="G91" s="1" t="s">
        <v>310</v>
      </c>
      <c r="H91" s="1" t="s">
        <v>60</v>
      </c>
      <c r="I91" s="2">
        <v>1</v>
      </c>
      <c r="J91" s="2">
        <v>37954</v>
      </c>
      <c r="K91" s="2">
        <v>1184</v>
      </c>
      <c r="L91" s="2">
        <v>0</v>
      </c>
      <c r="M91" s="2">
        <v>0</v>
      </c>
      <c r="N91" s="2">
        <v>100</v>
      </c>
      <c r="O91" s="2">
        <v>39238</v>
      </c>
      <c r="P91" s="1" t="s">
        <v>25</v>
      </c>
      <c r="Q91" s="1" t="s">
        <v>35</v>
      </c>
      <c r="R91" s="1" t="s">
        <v>311</v>
      </c>
      <c r="S91" s="1">
        <v>1</v>
      </c>
      <c r="T91" s="1">
        <v>0</v>
      </c>
      <c r="U91" s="1">
        <f t="shared" si="10"/>
        <v>1</v>
      </c>
      <c r="V91" s="1">
        <v>0</v>
      </c>
      <c r="W91" s="1">
        <f t="shared" si="11"/>
        <v>1</v>
      </c>
      <c r="X91" s="5">
        <f t="shared" si="9"/>
        <v>100</v>
      </c>
    </row>
    <row r="92" spans="1:24" ht="15" customHeight="1">
      <c r="A92" s="6">
        <v>46054</v>
      </c>
      <c r="B92" s="1" t="s">
        <v>49</v>
      </c>
      <c r="C92" s="1" t="s">
        <v>285</v>
      </c>
      <c r="D92" s="1" t="s">
        <v>312</v>
      </c>
      <c r="E92" s="1" t="s">
        <v>73</v>
      </c>
      <c r="F92" s="1" t="s">
        <v>313</v>
      </c>
      <c r="G92" s="1" t="s">
        <v>314</v>
      </c>
      <c r="H92" s="1" t="s">
        <v>54</v>
      </c>
      <c r="I92" s="2">
        <v>76</v>
      </c>
      <c r="J92" s="2">
        <v>953458</v>
      </c>
      <c r="K92" s="2">
        <v>6106</v>
      </c>
      <c r="L92" s="2">
        <v>0</v>
      </c>
      <c r="M92" s="2">
        <v>0</v>
      </c>
      <c r="N92" s="2">
        <v>705</v>
      </c>
      <c r="O92" s="2">
        <v>960269</v>
      </c>
      <c r="P92" s="1" t="s">
        <v>25</v>
      </c>
      <c r="Q92" s="1" t="s">
        <v>35</v>
      </c>
      <c r="R92" s="1" t="s">
        <v>66</v>
      </c>
      <c r="S92" s="1">
        <v>1</v>
      </c>
      <c r="T92" s="1">
        <v>0</v>
      </c>
      <c r="U92" s="1">
        <f t="shared" si="10"/>
        <v>1</v>
      </c>
      <c r="V92" s="1">
        <v>0</v>
      </c>
      <c r="W92" s="1">
        <f t="shared" si="11"/>
        <v>1</v>
      </c>
      <c r="X92" s="5">
        <f t="shared" si="9"/>
        <v>100</v>
      </c>
    </row>
    <row r="93" spans="1:24" ht="15" customHeight="1">
      <c r="A93" s="6">
        <v>46054</v>
      </c>
      <c r="B93" s="1" t="s">
        <v>49</v>
      </c>
      <c r="C93" s="1" t="s">
        <v>285</v>
      </c>
      <c r="D93" s="1" t="s">
        <v>315</v>
      </c>
      <c r="E93" s="1" t="s">
        <v>73</v>
      </c>
      <c r="F93" s="1" t="s">
        <v>316</v>
      </c>
      <c r="G93" s="1" t="s">
        <v>43</v>
      </c>
      <c r="H93" s="1" t="s">
        <v>54</v>
      </c>
      <c r="I93" s="2">
        <v>76</v>
      </c>
      <c r="J93" s="2">
        <v>-17805</v>
      </c>
      <c r="K93" s="2">
        <v>4979</v>
      </c>
      <c r="L93" s="2">
        <v>0</v>
      </c>
      <c r="M93" s="2">
        <v>0</v>
      </c>
      <c r="N93" s="2">
        <v>0</v>
      </c>
      <c r="O93" s="2">
        <v>-12826</v>
      </c>
      <c r="P93" s="1" t="s">
        <v>25</v>
      </c>
      <c r="Q93" s="1" t="s">
        <v>35</v>
      </c>
      <c r="R93" s="1" t="s">
        <v>66</v>
      </c>
      <c r="S93" s="1">
        <v>1</v>
      </c>
      <c r="T93" s="1">
        <v>0</v>
      </c>
      <c r="U93" s="1">
        <f t="shared" si="10"/>
        <v>1</v>
      </c>
      <c r="V93" s="1">
        <v>0</v>
      </c>
      <c r="W93" s="1">
        <f t="shared" si="11"/>
        <v>1</v>
      </c>
      <c r="X93" s="5">
        <f t="shared" si="9"/>
        <v>100</v>
      </c>
    </row>
    <row r="94" spans="1:24" ht="15" customHeight="1">
      <c r="A94" s="6">
        <v>46054</v>
      </c>
      <c r="B94" s="1" t="s">
        <v>49</v>
      </c>
      <c r="C94" s="1" t="s">
        <v>285</v>
      </c>
      <c r="D94" s="1" t="s">
        <v>317</v>
      </c>
      <c r="E94" s="1" t="s">
        <v>318</v>
      </c>
      <c r="F94" s="1" t="s">
        <v>319</v>
      </c>
      <c r="G94" s="1" t="s">
        <v>273</v>
      </c>
      <c r="H94" s="1" t="s">
        <v>54</v>
      </c>
      <c r="I94" s="2">
        <v>14</v>
      </c>
      <c r="J94" s="2">
        <v>1123669.32</v>
      </c>
      <c r="K94" s="2">
        <v>2658.68</v>
      </c>
      <c r="L94" s="2">
        <v>0</v>
      </c>
      <c r="M94" s="2">
        <v>0</v>
      </c>
      <c r="N94" s="2">
        <v>339</v>
      </c>
      <c r="O94" s="2">
        <v>1126667</v>
      </c>
      <c r="P94" s="1" t="s">
        <v>25</v>
      </c>
      <c r="Q94" s="1" t="s">
        <v>35</v>
      </c>
      <c r="R94" s="1" t="s">
        <v>66</v>
      </c>
      <c r="S94" s="1">
        <v>0</v>
      </c>
      <c r="T94" s="1">
        <v>1</v>
      </c>
      <c r="U94" s="1">
        <f t="shared" si="10"/>
        <v>1</v>
      </c>
      <c r="V94" s="1">
        <v>0</v>
      </c>
      <c r="W94" s="1">
        <f t="shared" si="11"/>
        <v>1</v>
      </c>
      <c r="X94" s="5">
        <f t="shared" si="9"/>
        <v>0</v>
      </c>
    </row>
    <row r="95" spans="1:24" ht="15" customHeight="1">
      <c r="A95" s="6">
        <v>46054</v>
      </c>
      <c r="B95" s="1" t="s">
        <v>49</v>
      </c>
      <c r="C95" s="1" t="s">
        <v>285</v>
      </c>
      <c r="D95" s="1" t="s">
        <v>320</v>
      </c>
      <c r="E95" s="1" t="s">
        <v>321</v>
      </c>
      <c r="F95" s="1" t="s">
        <v>322</v>
      </c>
      <c r="G95" s="1" t="s">
        <v>43</v>
      </c>
      <c r="H95" s="1" t="s">
        <v>54</v>
      </c>
      <c r="I95" s="2">
        <v>25</v>
      </c>
      <c r="J95" s="2">
        <v>-10016</v>
      </c>
      <c r="K95" s="2">
        <v>0</v>
      </c>
      <c r="L95" s="2">
        <v>0</v>
      </c>
      <c r="M95" s="2">
        <v>0</v>
      </c>
      <c r="N95" s="2">
        <v>0</v>
      </c>
      <c r="O95" s="2">
        <v>-10016</v>
      </c>
      <c r="P95" s="1" t="s">
        <v>25</v>
      </c>
      <c r="Q95" s="1" t="s">
        <v>26</v>
      </c>
      <c r="R95" s="1" t="s">
        <v>323</v>
      </c>
      <c r="S95" s="1">
        <v>0</v>
      </c>
      <c r="T95" s="1">
        <v>0</v>
      </c>
      <c r="U95" s="1">
        <f t="shared" si="10"/>
        <v>0</v>
      </c>
      <c r="V95" s="1">
        <v>1</v>
      </c>
      <c r="W95" s="1">
        <f t="shared" si="11"/>
        <v>1</v>
      </c>
      <c r="X95" s="5" t="e">
        <f t="shared" si="9"/>
        <v>#DIV/0!</v>
      </c>
    </row>
    <row r="96" spans="1:24" ht="15" customHeight="1">
      <c r="A96" s="6">
        <v>46054</v>
      </c>
      <c r="B96" s="1" t="s">
        <v>49</v>
      </c>
      <c r="C96" s="1" t="s">
        <v>285</v>
      </c>
      <c r="D96" s="1" t="s">
        <v>324</v>
      </c>
      <c r="E96" s="1" t="s">
        <v>181</v>
      </c>
      <c r="F96" s="1" t="s">
        <v>325</v>
      </c>
      <c r="G96" s="1" t="s">
        <v>326</v>
      </c>
      <c r="H96" s="1" t="s">
        <v>54</v>
      </c>
      <c r="I96" s="2">
        <v>100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1" t="s">
        <v>25</v>
      </c>
      <c r="Q96" s="1" t="s">
        <v>26</v>
      </c>
      <c r="R96" s="1" t="s">
        <v>66</v>
      </c>
      <c r="S96" s="1">
        <v>0</v>
      </c>
      <c r="T96" s="1">
        <v>0</v>
      </c>
      <c r="U96" s="1">
        <f t="shared" si="10"/>
        <v>0</v>
      </c>
      <c r="V96" s="1">
        <v>1</v>
      </c>
      <c r="W96" s="1">
        <f t="shared" si="11"/>
        <v>1</v>
      </c>
      <c r="X96" s="5" t="e">
        <f t="shared" si="9"/>
        <v>#DIV/0!</v>
      </c>
    </row>
    <row r="97" spans="1:24" ht="15" customHeight="1">
      <c r="A97" s="6">
        <v>46054</v>
      </c>
      <c r="B97" s="1" t="s">
        <v>49</v>
      </c>
      <c r="C97" s="1" t="s">
        <v>285</v>
      </c>
      <c r="D97" s="1" t="s">
        <v>327</v>
      </c>
      <c r="E97" s="1" t="s">
        <v>328</v>
      </c>
      <c r="F97" s="1" t="s">
        <v>329</v>
      </c>
      <c r="G97" s="1" t="s">
        <v>34</v>
      </c>
      <c r="H97" s="1" t="s">
        <v>54</v>
      </c>
      <c r="I97" s="2">
        <v>11</v>
      </c>
      <c r="J97" s="2">
        <v>49218</v>
      </c>
      <c r="K97" s="2">
        <v>2399</v>
      </c>
      <c r="L97" s="2">
        <v>0</v>
      </c>
      <c r="M97" s="2">
        <v>0</v>
      </c>
      <c r="N97" s="2">
        <v>306</v>
      </c>
      <c r="O97" s="2">
        <v>51923</v>
      </c>
      <c r="P97" s="1" t="s">
        <v>25</v>
      </c>
      <c r="Q97" s="1" t="s">
        <v>35</v>
      </c>
      <c r="R97" s="1" t="s">
        <v>66</v>
      </c>
      <c r="S97" s="1">
        <v>0</v>
      </c>
      <c r="T97" s="1">
        <v>1</v>
      </c>
      <c r="U97" s="1">
        <f t="shared" si="10"/>
        <v>1</v>
      </c>
      <c r="V97" s="1">
        <v>0</v>
      </c>
      <c r="W97" s="1">
        <f t="shared" si="11"/>
        <v>1</v>
      </c>
      <c r="X97" s="5">
        <f t="shared" si="9"/>
        <v>0</v>
      </c>
    </row>
    <row r="98" spans="1:24" ht="15" customHeight="1">
      <c r="A98" s="6">
        <v>46054</v>
      </c>
      <c r="B98" s="1" t="s">
        <v>49</v>
      </c>
      <c r="C98" s="1" t="s">
        <v>285</v>
      </c>
      <c r="D98" s="1" t="s">
        <v>330</v>
      </c>
      <c r="E98" s="1" t="s">
        <v>331</v>
      </c>
      <c r="F98" s="1" t="s">
        <v>332</v>
      </c>
      <c r="G98" s="1" t="s">
        <v>34</v>
      </c>
      <c r="H98" s="1" t="s">
        <v>54</v>
      </c>
      <c r="I98" s="2">
        <v>4.2</v>
      </c>
      <c r="J98" s="2">
        <v>-22873</v>
      </c>
      <c r="K98" s="2">
        <v>2399</v>
      </c>
      <c r="L98" s="2">
        <v>0</v>
      </c>
      <c r="M98" s="2">
        <v>0</v>
      </c>
      <c r="N98" s="2">
        <v>0</v>
      </c>
      <c r="O98" s="2">
        <v>-20474</v>
      </c>
      <c r="P98" s="1" t="s">
        <v>25</v>
      </c>
      <c r="Q98" s="1" t="s">
        <v>35</v>
      </c>
      <c r="R98" s="1" t="s">
        <v>66</v>
      </c>
      <c r="S98" s="1">
        <v>0</v>
      </c>
      <c r="T98" s="1">
        <v>1</v>
      </c>
      <c r="U98" s="1">
        <f t="shared" si="10"/>
        <v>1</v>
      </c>
      <c r="V98" s="1">
        <v>0</v>
      </c>
      <c r="W98" s="1">
        <f t="shared" si="11"/>
        <v>1</v>
      </c>
      <c r="X98" s="5">
        <f t="shared" si="9"/>
        <v>0</v>
      </c>
    </row>
    <row r="99" spans="1:24" ht="15" customHeight="1">
      <c r="A99" s="6">
        <v>46054</v>
      </c>
      <c r="B99" s="1" t="s">
        <v>49</v>
      </c>
      <c r="C99" s="1" t="s">
        <v>285</v>
      </c>
      <c r="D99" s="1" t="s">
        <v>333</v>
      </c>
      <c r="E99" s="1" t="s">
        <v>83</v>
      </c>
      <c r="F99" s="1" t="s">
        <v>334</v>
      </c>
      <c r="G99" s="1" t="s">
        <v>335</v>
      </c>
      <c r="H99" s="1" t="s">
        <v>54</v>
      </c>
      <c r="I99" s="2">
        <v>4.3</v>
      </c>
      <c r="J99" s="2">
        <v>317963</v>
      </c>
      <c r="K99" s="2">
        <v>5987</v>
      </c>
      <c r="L99" s="2">
        <v>0</v>
      </c>
      <c r="M99" s="2">
        <v>0</v>
      </c>
      <c r="N99" s="2">
        <v>659</v>
      </c>
      <c r="O99" s="2">
        <v>324609</v>
      </c>
      <c r="P99" s="1" t="s">
        <v>25</v>
      </c>
      <c r="Q99" s="1" t="s">
        <v>35</v>
      </c>
      <c r="R99" s="1" t="s">
        <v>66</v>
      </c>
      <c r="S99" s="1">
        <v>1</v>
      </c>
      <c r="T99" s="1">
        <v>0</v>
      </c>
      <c r="U99" s="1">
        <f t="shared" si="10"/>
        <v>1</v>
      </c>
      <c r="V99" s="1">
        <v>0</v>
      </c>
      <c r="W99" s="1">
        <f t="shared" si="11"/>
        <v>1</v>
      </c>
      <c r="X99" s="5">
        <f t="shared" si="9"/>
        <v>100</v>
      </c>
    </row>
    <row r="100" spans="1:24" ht="15" customHeight="1">
      <c r="A100" s="6">
        <v>46054</v>
      </c>
      <c r="B100" s="1" t="s">
        <v>49</v>
      </c>
      <c r="C100" s="1" t="s">
        <v>285</v>
      </c>
      <c r="D100" s="1" t="s">
        <v>336</v>
      </c>
      <c r="E100" s="1" t="s">
        <v>181</v>
      </c>
      <c r="F100" s="1" t="s">
        <v>337</v>
      </c>
      <c r="G100" s="1" t="s">
        <v>338</v>
      </c>
      <c r="H100" s="1" t="s">
        <v>54</v>
      </c>
      <c r="I100" s="2">
        <v>100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1" t="s">
        <v>25</v>
      </c>
      <c r="Q100" s="1" t="s">
        <v>26</v>
      </c>
      <c r="R100" s="1" t="s">
        <v>66</v>
      </c>
      <c r="S100" s="1">
        <v>0</v>
      </c>
      <c r="T100" s="1">
        <v>0</v>
      </c>
      <c r="U100" s="1">
        <f t="shared" si="10"/>
        <v>0</v>
      </c>
      <c r="V100" s="1">
        <v>1</v>
      </c>
      <c r="W100" s="1">
        <f t="shared" si="11"/>
        <v>1</v>
      </c>
      <c r="X100" s="5" t="e">
        <f t="shared" si="9"/>
        <v>#DIV/0!</v>
      </c>
    </row>
    <row r="101" spans="1:24" ht="15" customHeight="1">
      <c r="A101" s="6">
        <v>46054</v>
      </c>
      <c r="B101" s="1" t="s">
        <v>49</v>
      </c>
      <c r="C101" s="1" t="s">
        <v>285</v>
      </c>
      <c r="D101" s="1" t="s">
        <v>339</v>
      </c>
      <c r="E101" s="1" t="s">
        <v>181</v>
      </c>
      <c r="F101" s="1" t="s">
        <v>340</v>
      </c>
      <c r="G101" s="1" t="s">
        <v>23</v>
      </c>
      <c r="H101" s="1" t="s">
        <v>54</v>
      </c>
      <c r="I101" s="2">
        <v>100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1" t="s">
        <v>25</v>
      </c>
      <c r="Q101" s="1" t="s">
        <v>26</v>
      </c>
      <c r="R101" s="1" t="s">
        <v>66</v>
      </c>
      <c r="S101" s="1">
        <v>0</v>
      </c>
      <c r="T101" s="1">
        <v>0</v>
      </c>
      <c r="U101" s="1">
        <f t="shared" si="10"/>
        <v>0</v>
      </c>
      <c r="V101" s="1">
        <v>1</v>
      </c>
      <c r="W101" s="1">
        <f t="shared" si="11"/>
        <v>1</v>
      </c>
      <c r="X101" s="5" t="e">
        <f t="shared" si="9"/>
        <v>#DIV/0!</v>
      </c>
    </row>
    <row r="102" spans="1:24" ht="15" customHeight="1">
      <c r="A102" s="6">
        <v>46054</v>
      </c>
      <c r="B102" s="1" t="s">
        <v>49</v>
      </c>
      <c r="C102" s="1" t="s">
        <v>285</v>
      </c>
      <c r="D102" s="1" t="s">
        <v>341</v>
      </c>
      <c r="E102" s="1" t="s">
        <v>73</v>
      </c>
      <c r="F102" s="1" t="s">
        <v>342</v>
      </c>
      <c r="G102" s="1" t="s">
        <v>43</v>
      </c>
      <c r="H102" s="1" t="s">
        <v>54</v>
      </c>
      <c r="I102" s="2">
        <v>76</v>
      </c>
      <c r="J102" s="2">
        <v>499120</v>
      </c>
      <c r="K102" s="2">
        <v>3352</v>
      </c>
      <c r="L102" s="2">
        <v>0</v>
      </c>
      <c r="M102" s="2">
        <v>0</v>
      </c>
      <c r="N102" s="2">
        <v>426</v>
      </c>
      <c r="O102" s="2">
        <v>502898</v>
      </c>
      <c r="P102" s="1" t="s">
        <v>25</v>
      </c>
      <c r="Q102" s="1" t="s">
        <v>35</v>
      </c>
      <c r="R102" s="1" t="s">
        <v>66</v>
      </c>
      <c r="S102" s="1">
        <v>0</v>
      </c>
      <c r="T102" s="1">
        <v>1</v>
      </c>
      <c r="U102" s="1">
        <f t="shared" si="10"/>
        <v>1</v>
      </c>
      <c r="V102" s="1">
        <v>0</v>
      </c>
      <c r="W102" s="1">
        <f t="shared" si="11"/>
        <v>1</v>
      </c>
      <c r="X102" s="5">
        <f t="shared" si="9"/>
        <v>0</v>
      </c>
    </row>
    <row r="103" spans="1:24" ht="15" customHeight="1">
      <c r="A103" s="6">
        <v>46054</v>
      </c>
      <c r="B103" s="1" t="s">
        <v>49</v>
      </c>
      <c r="C103" s="1" t="s">
        <v>285</v>
      </c>
      <c r="D103" s="1" t="s">
        <v>343</v>
      </c>
      <c r="E103" s="1" t="s">
        <v>344</v>
      </c>
      <c r="F103" s="1" t="s">
        <v>345</v>
      </c>
      <c r="G103" s="1" t="s">
        <v>346</v>
      </c>
      <c r="H103" s="1" t="s">
        <v>54</v>
      </c>
      <c r="I103" s="2">
        <v>16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1" t="s">
        <v>25</v>
      </c>
      <c r="Q103" s="1" t="s">
        <v>26</v>
      </c>
      <c r="R103" s="1" t="s">
        <v>66</v>
      </c>
      <c r="S103" s="1">
        <v>0</v>
      </c>
      <c r="T103" s="1">
        <v>0</v>
      </c>
      <c r="U103" s="1">
        <f t="shared" si="10"/>
        <v>0</v>
      </c>
      <c r="V103" s="1">
        <v>1</v>
      </c>
      <c r="W103" s="1">
        <f t="shared" si="11"/>
        <v>1</v>
      </c>
      <c r="X103" s="5" t="e">
        <f t="shared" si="9"/>
        <v>#DIV/0!</v>
      </c>
    </row>
    <row r="104" spans="1:24" ht="15" customHeight="1">
      <c r="A104" s="6">
        <v>46054</v>
      </c>
      <c r="B104" s="1" t="s">
        <v>56</v>
      </c>
      <c r="C104" s="1" t="s">
        <v>285</v>
      </c>
      <c r="D104" s="1" t="s">
        <v>347</v>
      </c>
      <c r="E104" s="1" t="s">
        <v>348</v>
      </c>
      <c r="F104" s="1" t="s">
        <v>349</v>
      </c>
      <c r="G104" s="1" t="s">
        <v>350</v>
      </c>
      <c r="H104" s="1" t="s">
        <v>60</v>
      </c>
      <c r="I104" s="2">
        <v>2.02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1" t="s">
        <v>25</v>
      </c>
      <c r="Q104" s="1" t="s">
        <v>26</v>
      </c>
      <c r="R104" s="1" t="s">
        <v>302</v>
      </c>
      <c r="S104" s="1">
        <v>0</v>
      </c>
      <c r="T104" s="1">
        <v>0</v>
      </c>
      <c r="U104" s="1">
        <f t="shared" si="10"/>
        <v>0</v>
      </c>
      <c r="V104" s="1">
        <v>1</v>
      </c>
      <c r="W104" s="1">
        <f t="shared" si="11"/>
        <v>1</v>
      </c>
      <c r="X104" s="5" t="e">
        <f t="shared" si="9"/>
        <v>#DIV/0!</v>
      </c>
    </row>
    <row r="105" spans="1:24" ht="15" customHeight="1">
      <c r="A105" s="6">
        <v>46054</v>
      </c>
      <c r="B105" s="1" t="s">
        <v>18</v>
      </c>
      <c r="C105" s="1" t="s">
        <v>351</v>
      </c>
      <c r="D105" s="1" t="s">
        <v>1409</v>
      </c>
      <c r="E105" s="1" t="s">
        <v>1410</v>
      </c>
      <c r="F105" s="1" t="s">
        <v>1411</v>
      </c>
      <c r="G105" s="1" t="s">
        <v>1412</v>
      </c>
      <c r="H105" s="1" t="s">
        <v>24</v>
      </c>
      <c r="I105" s="2">
        <v>1.58</v>
      </c>
      <c r="J105" s="2">
        <v>18678</v>
      </c>
      <c r="K105" s="2">
        <v>1180</v>
      </c>
      <c r="L105" s="2">
        <v>0</v>
      </c>
      <c r="M105" s="2">
        <v>0</v>
      </c>
      <c r="N105" s="2">
        <v>100</v>
      </c>
      <c r="O105" s="2">
        <v>19958</v>
      </c>
      <c r="P105" s="1" t="s">
        <v>25</v>
      </c>
      <c r="Q105" s="1" t="s">
        <v>35</v>
      </c>
      <c r="R105" s="1" t="s">
        <v>153</v>
      </c>
      <c r="S105" s="1">
        <v>1</v>
      </c>
      <c r="T105" s="1">
        <v>0</v>
      </c>
      <c r="U105" s="1">
        <f t="shared" si="10"/>
        <v>1</v>
      </c>
      <c r="V105" s="1">
        <v>0</v>
      </c>
      <c r="W105" s="1">
        <f t="shared" si="11"/>
        <v>1</v>
      </c>
      <c r="X105" s="5">
        <f t="shared" si="9"/>
        <v>100</v>
      </c>
    </row>
    <row r="106" spans="1:24" ht="15" customHeight="1">
      <c r="A106" s="6">
        <v>46054</v>
      </c>
      <c r="B106" s="1" t="s">
        <v>49</v>
      </c>
      <c r="C106" s="1" t="s">
        <v>351</v>
      </c>
      <c r="D106" s="1" t="s">
        <v>352</v>
      </c>
      <c r="E106" s="1" t="s">
        <v>73</v>
      </c>
      <c r="F106" s="1" t="s">
        <v>353</v>
      </c>
      <c r="G106" s="1" t="s">
        <v>43</v>
      </c>
      <c r="H106" s="1" t="s">
        <v>54</v>
      </c>
      <c r="I106" s="2">
        <v>76</v>
      </c>
      <c r="J106" s="2">
        <v>559445</v>
      </c>
      <c r="K106" s="2">
        <v>3277</v>
      </c>
      <c r="L106" s="2">
        <v>0</v>
      </c>
      <c r="M106" s="2">
        <v>0</v>
      </c>
      <c r="N106" s="2">
        <v>417</v>
      </c>
      <c r="O106" s="2">
        <v>563139</v>
      </c>
      <c r="P106" s="1" t="s">
        <v>25</v>
      </c>
      <c r="Q106" s="1" t="s">
        <v>35</v>
      </c>
      <c r="R106" s="1" t="s">
        <v>66</v>
      </c>
      <c r="S106" s="1">
        <v>1</v>
      </c>
      <c r="T106" s="1">
        <v>0</v>
      </c>
      <c r="U106" s="1">
        <f t="shared" si="10"/>
        <v>1</v>
      </c>
      <c r="V106" s="1">
        <v>0</v>
      </c>
      <c r="W106" s="1">
        <f t="shared" si="11"/>
        <v>1</v>
      </c>
      <c r="X106" s="5">
        <f t="shared" si="9"/>
        <v>100</v>
      </c>
    </row>
    <row r="107" spans="1:24" ht="15" customHeight="1">
      <c r="A107" s="6">
        <v>46054</v>
      </c>
      <c r="B107" s="1" t="s">
        <v>49</v>
      </c>
      <c r="C107" s="1" t="s">
        <v>351</v>
      </c>
      <c r="D107" s="1" t="s">
        <v>357</v>
      </c>
      <c r="E107" s="1" t="s">
        <v>73</v>
      </c>
      <c r="F107" s="1" t="s">
        <v>358</v>
      </c>
      <c r="G107" s="1" t="s">
        <v>43</v>
      </c>
      <c r="H107" s="1" t="s">
        <v>54</v>
      </c>
      <c r="I107" s="2">
        <v>76</v>
      </c>
      <c r="J107" s="2">
        <v>2536624</v>
      </c>
      <c r="K107" s="2">
        <v>214935</v>
      </c>
      <c r="L107" s="2">
        <v>0</v>
      </c>
      <c r="M107" s="2">
        <v>0</v>
      </c>
      <c r="N107" s="2">
        <v>27294</v>
      </c>
      <c r="O107" s="2">
        <v>2778853</v>
      </c>
      <c r="P107" s="1" t="s">
        <v>25</v>
      </c>
      <c r="Q107" s="1" t="s">
        <v>35</v>
      </c>
      <c r="R107" s="1" t="s">
        <v>66</v>
      </c>
      <c r="S107" s="1">
        <v>1</v>
      </c>
      <c r="T107" s="1">
        <v>0</v>
      </c>
      <c r="U107" s="1">
        <f t="shared" si="10"/>
        <v>1</v>
      </c>
      <c r="V107" s="1">
        <v>0</v>
      </c>
      <c r="W107" s="1">
        <f t="shared" si="11"/>
        <v>1</v>
      </c>
      <c r="X107" s="5">
        <f t="shared" si="9"/>
        <v>100</v>
      </c>
    </row>
    <row r="108" spans="1:24" ht="15" customHeight="1">
      <c r="A108" s="6">
        <v>46054</v>
      </c>
      <c r="B108" s="1" t="s">
        <v>49</v>
      </c>
      <c r="C108" s="1" t="s">
        <v>351</v>
      </c>
      <c r="D108" s="1" t="s">
        <v>359</v>
      </c>
      <c r="E108" s="1" t="s">
        <v>73</v>
      </c>
      <c r="F108" s="1" t="s">
        <v>360</v>
      </c>
      <c r="G108" s="1" t="s">
        <v>43</v>
      </c>
      <c r="H108" s="1" t="s">
        <v>54</v>
      </c>
      <c r="I108" s="2">
        <v>76</v>
      </c>
      <c r="J108" s="2">
        <v>378023</v>
      </c>
      <c r="K108" s="2">
        <v>3974</v>
      </c>
      <c r="L108" s="2">
        <v>0</v>
      </c>
      <c r="M108" s="2">
        <v>0</v>
      </c>
      <c r="N108" s="2">
        <v>481</v>
      </c>
      <c r="O108" s="2">
        <v>382478</v>
      </c>
      <c r="P108" s="1" t="s">
        <v>25</v>
      </c>
      <c r="Q108" s="1" t="s">
        <v>35</v>
      </c>
      <c r="R108" s="1" t="s">
        <v>66</v>
      </c>
      <c r="S108" s="1">
        <v>1</v>
      </c>
      <c r="T108" s="1">
        <v>0</v>
      </c>
      <c r="U108" s="1">
        <f t="shared" si="10"/>
        <v>1</v>
      </c>
      <c r="V108" s="1">
        <v>0</v>
      </c>
      <c r="W108" s="1">
        <f t="shared" si="11"/>
        <v>1</v>
      </c>
      <c r="X108" s="5">
        <f t="shared" si="9"/>
        <v>100</v>
      </c>
    </row>
    <row r="109" spans="1:24">
      <c r="A109" s="6">
        <v>46054</v>
      </c>
      <c r="B109" s="1" t="s">
        <v>49</v>
      </c>
      <c r="C109" s="1" t="s">
        <v>351</v>
      </c>
      <c r="D109" s="1" t="s">
        <v>361</v>
      </c>
      <c r="E109" s="1" t="s">
        <v>318</v>
      </c>
      <c r="F109" s="1" t="s">
        <v>169</v>
      </c>
      <c r="G109" s="1" t="s">
        <v>362</v>
      </c>
      <c r="H109" s="1" t="s">
        <v>54</v>
      </c>
      <c r="I109" s="2">
        <v>20</v>
      </c>
      <c r="J109" s="2">
        <v>1056113</v>
      </c>
      <c r="K109" s="2">
        <v>2563</v>
      </c>
      <c r="L109" s="2">
        <v>0</v>
      </c>
      <c r="M109" s="2">
        <v>0</v>
      </c>
      <c r="N109" s="2">
        <v>320</v>
      </c>
      <c r="O109" s="2">
        <v>1058996</v>
      </c>
      <c r="P109" s="1" t="s">
        <v>25</v>
      </c>
      <c r="Q109" s="1" t="s">
        <v>35</v>
      </c>
      <c r="R109" s="1" t="s">
        <v>66</v>
      </c>
      <c r="S109" s="1">
        <v>0</v>
      </c>
      <c r="T109" s="1">
        <v>1</v>
      </c>
      <c r="U109" s="1">
        <f t="shared" si="10"/>
        <v>1</v>
      </c>
      <c r="V109" s="1">
        <v>0</v>
      </c>
      <c r="W109" s="1">
        <f t="shared" si="11"/>
        <v>1</v>
      </c>
      <c r="X109" s="5">
        <f t="shared" si="9"/>
        <v>0</v>
      </c>
    </row>
    <row r="110" spans="1:24" ht="15" customHeight="1">
      <c r="A110" s="6">
        <v>46054</v>
      </c>
      <c r="B110" s="1" t="s">
        <v>61</v>
      </c>
      <c r="C110" s="1" t="s">
        <v>351</v>
      </c>
      <c r="D110" s="1" t="s">
        <v>354</v>
      </c>
      <c r="E110" s="1" t="s">
        <v>73</v>
      </c>
      <c r="F110" s="1" t="s">
        <v>355</v>
      </c>
      <c r="G110" s="1" t="s">
        <v>356</v>
      </c>
      <c r="H110" s="1" t="s">
        <v>54</v>
      </c>
      <c r="I110" s="2">
        <v>2</v>
      </c>
      <c r="J110" s="2">
        <v>1001923</v>
      </c>
      <c r="K110" s="2">
        <v>2366</v>
      </c>
      <c r="L110" s="2">
        <v>0</v>
      </c>
      <c r="M110" s="2">
        <v>0</v>
      </c>
      <c r="N110" s="2">
        <v>202</v>
      </c>
      <c r="O110" s="2">
        <v>1004491</v>
      </c>
      <c r="P110" s="1" t="s">
        <v>25</v>
      </c>
      <c r="Q110" s="1" t="s">
        <v>35</v>
      </c>
      <c r="R110" s="1" t="s">
        <v>66</v>
      </c>
      <c r="S110" s="1">
        <v>1</v>
      </c>
      <c r="T110" s="1">
        <v>0</v>
      </c>
      <c r="U110" s="1">
        <f t="shared" si="10"/>
        <v>1</v>
      </c>
      <c r="V110" s="1">
        <v>0</v>
      </c>
      <c r="W110" s="1">
        <f t="shared" si="11"/>
        <v>1</v>
      </c>
      <c r="X110" s="5">
        <f t="shared" si="9"/>
        <v>100</v>
      </c>
    </row>
    <row r="111" spans="1:24" ht="15" customHeight="1">
      <c r="A111" s="6">
        <v>46054</v>
      </c>
      <c r="B111" s="1" t="s">
        <v>61</v>
      </c>
      <c r="C111" s="1" t="s">
        <v>351</v>
      </c>
      <c r="D111" s="1" t="s">
        <v>363</v>
      </c>
      <c r="E111" s="1" t="s">
        <v>255</v>
      </c>
      <c r="F111" s="1" t="s">
        <v>364</v>
      </c>
      <c r="G111" s="1" t="s">
        <v>43</v>
      </c>
      <c r="H111" s="1" t="s">
        <v>54</v>
      </c>
      <c r="I111" s="2">
        <v>3</v>
      </c>
      <c r="J111" s="2">
        <v>157494</v>
      </c>
      <c r="K111" s="2">
        <v>2659</v>
      </c>
      <c r="L111" s="2">
        <v>0</v>
      </c>
      <c r="M111" s="2">
        <v>0</v>
      </c>
      <c r="N111" s="2">
        <v>226</v>
      </c>
      <c r="O111" s="2">
        <v>160379</v>
      </c>
      <c r="P111" s="1" t="s">
        <v>25</v>
      </c>
      <c r="Q111" s="1" t="s">
        <v>35</v>
      </c>
      <c r="R111" s="1" t="s">
        <v>66</v>
      </c>
      <c r="S111" s="1">
        <v>1</v>
      </c>
      <c r="T111" s="1">
        <v>0</v>
      </c>
      <c r="U111" s="1">
        <f t="shared" si="10"/>
        <v>1</v>
      </c>
      <c r="V111" s="1">
        <v>0</v>
      </c>
      <c r="W111" s="1">
        <f t="shared" si="11"/>
        <v>1</v>
      </c>
      <c r="X111" s="5">
        <f t="shared" si="9"/>
        <v>100</v>
      </c>
    </row>
    <row r="112" spans="1:24" ht="15" customHeight="1">
      <c r="A112" s="6">
        <v>46054</v>
      </c>
      <c r="B112" s="1" t="s">
        <v>61</v>
      </c>
      <c r="C112" s="1" t="s">
        <v>351</v>
      </c>
      <c r="D112" s="1" t="s">
        <v>365</v>
      </c>
      <c r="E112" s="1" t="s">
        <v>103</v>
      </c>
      <c r="F112" s="1" t="s">
        <v>366</v>
      </c>
      <c r="G112" s="1" t="s">
        <v>43</v>
      </c>
      <c r="H112" s="1" t="s">
        <v>54</v>
      </c>
      <c r="I112" s="2">
        <v>1.4</v>
      </c>
      <c r="J112" s="2">
        <v>5105</v>
      </c>
      <c r="K112" s="2">
        <v>2399</v>
      </c>
      <c r="L112" s="2">
        <v>0</v>
      </c>
      <c r="M112" s="2">
        <v>0</v>
      </c>
      <c r="N112" s="2">
        <v>204</v>
      </c>
      <c r="O112" s="2">
        <v>7708</v>
      </c>
      <c r="P112" s="1" t="s">
        <v>25</v>
      </c>
      <c r="Q112" s="1" t="s">
        <v>35</v>
      </c>
      <c r="R112" s="1" t="s">
        <v>66</v>
      </c>
      <c r="S112" s="1">
        <v>1</v>
      </c>
      <c r="T112" s="1">
        <v>0</v>
      </c>
      <c r="U112" s="1">
        <f t="shared" si="10"/>
        <v>1</v>
      </c>
      <c r="V112" s="1">
        <v>0</v>
      </c>
      <c r="W112" s="1">
        <f t="shared" si="11"/>
        <v>1</v>
      </c>
      <c r="X112" s="5">
        <f t="shared" si="9"/>
        <v>100</v>
      </c>
    </row>
    <row r="113" spans="1:24" ht="15" customHeight="1">
      <c r="A113" s="6">
        <v>46054</v>
      </c>
      <c r="B113" s="1" t="s">
        <v>18</v>
      </c>
      <c r="C113" s="1" t="s">
        <v>367</v>
      </c>
      <c r="D113" s="1" t="s">
        <v>368</v>
      </c>
      <c r="E113" s="1" t="s">
        <v>369</v>
      </c>
      <c r="F113" s="1" t="s">
        <v>370</v>
      </c>
      <c r="G113" s="1" t="s">
        <v>43</v>
      </c>
      <c r="H113" s="1" t="s">
        <v>24</v>
      </c>
      <c r="I113" s="2">
        <v>20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1" t="s">
        <v>25</v>
      </c>
      <c r="Q113" s="1" t="s">
        <v>26</v>
      </c>
      <c r="R113" s="1" t="s">
        <v>371</v>
      </c>
      <c r="S113" s="1">
        <v>0</v>
      </c>
      <c r="T113" s="1">
        <v>0</v>
      </c>
      <c r="U113" s="1">
        <f t="shared" si="10"/>
        <v>0</v>
      </c>
      <c r="V113" s="1">
        <v>1</v>
      </c>
      <c r="W113" s="1">
        <f t="shared" si="11"/>
        <v>1</v>
      </c>
      <c r="X113" s="5" t="e">
        <f t="shared" si="9"/>
        <v>#DIV/0!</v>
      </c>
    </row>
    <row r="114" spans="1:24" ht="15" customHeight="1">
      <c r="A114" s="6">
        <v>46054</v>
      </c>
      <c r="B114" s="1" t="s">
        <v>18</v>
      </c>
      <c r="C114" s="1" t="s">
        <v>367</v>
      </c>
      <c r="D114" s="1" t="s">
        <v>372</v>
      </c>
      <c r="E114" s="1" t="s">
        <v>373</v>
      </c>
      <c r="F114" s="1" t="s">
        <v>374</v>
      </c>
      <c r="G114" s="1" t="s">
        <v>375</v>
      </c>
      <c r="H114" s="1" t="s">
        <v>24</v>
      </c>
      <c r="I114" s="2">
        <v>4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1" t="s">
        <v>25</v>
      </c>
      <c r="Q114" s="1" t="s">
        <v>26</v>
      </c>
      <c r="R114" s="1" t="s">
        <v>27</v>
      </c>
      <c r="S114" s="1">
        <v>0</v>
      </c>
      <c r="T114" s="1">
        <v>0</v>
      </c>
      <c r="U114" s="1">
        <f t="shared" si="10"/>
        <v>0</v>
      </c>
      <c r="V114" s="1">
        <v>1</v>
      </c>
      <c r="W114" s="1">
        <f t="shared" si="11"/>
        <v>1</v>
      </c>
      <c r="X114" s="5" t="e">
        <f t="shared" si="9"/>
        <v>#DIV/0!</v>
      </c>
    </row>
    <row r="115" spans="1:24" ht="15" customHeight="1">
      <c r="A115" s="6">
        <v>46054</v>
      </c>
      <c r="B115" s="1" t="s">
        <v>18</v>
      </c>
      <c r="C115" s="1" t="s">
        <v>367</v>
      </c>
      <c r="D115" s="1" t="s">
        <v>376</v>
      </c>
      <c r="E115" s="1" t="s">
        <v>377</v>
      </c>
      <c r="F115" s="1" t="s">
        <v>378</v>
      </c>
      <c r="G115" s="1"/>
      <c r="H115" s="1" t="s">
        <v>128</v>
      </c>
      <c r="I115" s="2">
        <v>8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1" t="s">
        <v>25</v>
      </c>
      <c r="Q115" s="1" t="s">
        <v>26</v>
      </c>
      <c r="R115" s="1" t="s">
        <v>27</v>
      </c>
      <c r="S115" s="1">
        <v>0</v>
      </c>
      <c r="T115" s="1">
        <v>0</v>
      </c>
      <c r="U115" s="1">
        <f t="shared" si="10"/>
        <v>0</v>
      </c>
      <c r="V115" s="1">
        <v>1</v>
      </c>
      <c r="W115" s="1">
        <f t="shared" si="11"/>
        <v>1</v>
      </c>
      <c r="X115" s="5" t="e">
        <f t="shared" si="9"/>
        <v>#DIV/0!</v>
      </c>
    </row>
    <row r="116" spans="1:24" ht="15" customHeight="1">
      <c r="A116" s="6">
        <v>46054</v>
      </c>
      <c r="B116" s="1" t="s">
        <v>18</v>
      </c>
      <c r="C116" s="1" t="s">
        <v>367</v>
      </c>
      <c r="D116" s="1" t="s">
        <v>379</v>
      </c>
      <c r="E116" s="1" t="s">
        <v>380</v>
      </c>
      <c r="F116" s="1" t="s">
        <v>378</v>
      </c>
      <c r="G116" s="1"/>
      <c r="H116" s="1" t="s">
        <v>24</v>
      </c>
      <c r="I116" s="2">
        <v>18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1" t="s">
        <v>25</v>
      </c>
      <c r="Q116" s="1" t="s">
        <v>26</v>
      </c>
      <c r="R116" s="1" t="s">
        <v>27</v>
      </c>
      <c r="S116" s="1">
        <v>0</v>
      </c>
      <c r="T116" s="1">
        <v>0</v>
      </c>
      <c r="U116" s="1">
        <f t="shared" si="10"/>
        <v>0</v>
      </c>
      <c r="V116" s="1">
        <v>1</v>
      </c>
      <c r="W116" s="1">
        <f t="shared" si="11"/>
        <v>1</v>
      </c>
      <c r="X116" s="5" t="e">
        <f t="shared" si="9"/>
        <v>#DIV/0!</v>
      </c>
    </row>
    <row r="117" spans="1:24" ht="15" customHeight="1">
      <c r="A117" s="6">
        <v>46054</v>
      </c>
      <c r="B117" s="1" t="s">
        <v>18</v>
      </c>
      <c r="C117" s="1" t="s">
        <v>367</v>
      </c>
      <c r="D117" s="1" t="s">
        <v>381</v>
      </c>
      <c r="E117" s="1" t="s">
        <v>377</v>
      </c>
      <c r="F117" s="1" t="s">
        <v>378</v>
      </c>
      <c r="G117" s="1"/>
      <c r="H117" s="1" t="s">
        <v>24</v>
      </c>
      <c r="I117" s="2">
        <v>8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1" t="s">
        <v>25</v>
      </c>
      <c r="Q117" s="1" t="s">
        <v>26</v>
      </c>
      <c r="R117" s="1" t="s">
        <v>27</v>
      </c>
      <c r="S117" s="1">
        <v>0</v>
      </c>
      <c r="T117" s="1">
        <v>0</v>
      </c>
      <c r="U117" s="1">
        <f t="shared" si="10"/>
        <v>0</v>
      </c>
      <c r="V117" s="1">
        <v>1</v>
      </c>
      <c r="W117" s="1">
        <f t="shared" si="11"/>
        <v>1</v>
      </c>
      <c r="X117" s="5" t="e">
        <f t="shared" si="9"/>
        <v>#DIV/0!</v>
      </c>
    </row>
    <row r="118" spans="1:24" ht="15" customHeight="1">
      <c r="A118" s="6">
        <v>46054</v>
      </c>
      <c r="B118" s="1" t="s">
        <v>18</v>
      </c>
      <c r="C118" s="1" t="s">
        <v>367</v>
      </c>
      <c r="D118" s="1" t="s">
        <v>382</v>
      </c>
      <c r="E118" s="1" t="s">
        <v>383</v>
      </c>
      <c r="F118" s="1" t="s">
        <v>384</v>
      </c>
      <c r="G118" s="1" t="s">
        <v>385</v>
      </c>
      <c r="H118" s="1" t="s">
        <v>24</v>
      </c>
      <c r="I118" s="2">
        <v>20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1" t="s">
        <v>25</v>
      </c>
      <c r="Q118" s="1" t="s">
        <v>26</v>
      </c>
      <c r="R118" s="1" t="s">
        <v>386</v>
      </c>
      <c r="S118" s="1">
        <v>0</v>
      </c>
      <c r="T118" s="1">
        <v>0</v>
      </c>
      <c r="U118" s="1">
        <f t="shared" si="10"/>
        <v>0</v>
      </c>
      <c r="V118" s="1">
        <v>1</v>
      </c>
      <c r="W118" s="1">
        <f t="shared" si="11"/>
        <v>1</v>
      </c>
      <c r="X118" s="5" t="e">
        <f t="shared" si="9"/>
        <v>#DIV/0!</v>
      </c>
    </row>
    <row r="119" spans="1:24" ht="15" customHeight="1">
      <c r="A119" s="6">
        <v>46054</v>
      </c>
      <c r="B119" s="1" t="s">
        <v>18</v>
      </c>
      <c r="C119" s="1" t="s">
        <v>367</v>
      </c>
      <c r="D119" s="1" t="s">
        <v>387</v>
      </c>
      <c r="E119" s="1" t="s">
        <v>383</v>
      </c>
      <c r="F119" s="1" t="s">
        <v>388</v>
      </c>
      <c r="G119" s="1"/>
      <c r="H119" s="1" t="s">
        <v>24</v>
      </c>
      <c r="I119" s="2">
        <v>15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1" t="s">
        <v>25</v>
      </c>
      <c r="Q119" s="1" t="s">
        <v>26</v>
      </c>
      <c r="R119" s="1" t="s">
        <v>386</v>
      </c>
      <c r="S119" s="1">
        <v>0</v>
      </c>
      <c r="T119" s="1">
        <v>0</v>
      </c>
      <c r="U119" s="1">
        <f t="shared" si="10"/>
        <v>0</v>
      </c>
      <c r="V119" s="1">
        <v>1</v>
      </c>
      <c r="W119" s="1">
        <f t="shared" si="11"/>
        <v>1</v>
      </c>
      <c r="X119" s="5" t="e">
        <f t="shared" si="9"/>
        <v>#DIV/0!</v>
      </c>
    </row>
    <row r="120" spans="1:24" ht="15" customHeight="1">
      <c r="A120" s="6">
        <v>46054</v>
      </c>
      <c r="B120" s="1" t="s">
        <v>18</v>
      </c>
      <c r="C120" s="1" t="s">
        <v>367</v>
      </c>
      <c r="D120" s="1" t="s">
        <v>389</v>
      </c>
      <c r="E120" s="1" t="s">
        <v>390</v>
      </c>
      <c r="F120" s="1" t="s">
        <v>391</v>
      </c>
      <c r="G120" s="1" t="s">
        <v>43</v>
      </c>
      <c r="H120" s="1" t="s">
        <v>24</v>
      </c>
      <c r="I120" s="2">
        <v>4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1" t="s">
        <v>25</v>
      </c>
      <c r="Q120" s="1" t="s">
        <v>26</v>
      </c>
      <c r="R120" s="1" t="s">
        <v>302</v>
      </c>
      <c r="S120" s="1">
        <v>0</v>
      </c>
      <c r="T120" s="1">
        <v>0</v>
      </c>
      <c r="U120" s="1">
        <f t="shared" si="10"/>
        <v>0</v>
      </c>
      <c r="V120" s="1">
        <v>1</v>
      </c>
      <c r="W120" s="1">
        <f t="shared" si="11"/>
        <v>1</v>
      </c>
      <c r="X120" s="5" t="e">
        <f t="shared" si="9"/>
        <v>#DIV/0!</v>
      </c>
    </row>
    <row r="121" spans="1:24" ht="15" customHeight="1">
      <c r="A121" s="6">
        <v>46054</v>
      </c>
      <c r="B121" s="1" t="s">
        <v>18</v>
      </c>
      <c r="C121" s="1" t="s">
        <v>367</v>
      </c>
      <c r="D121" s="1" t="s">
        <v>392</v>
      </c>
      <c r="E121" s="1" t="s">
        <v>393</v>
      </c>
      <c r="F121" s="1" t="s">
        <v>391</v>
      </c>
      <c r="G121" s="1" t="s">
        <v>43</v>
      </c>
      <c r="H121" s="1" t="s">
        <v>24</v>
      </c>
      <c r="I121" s="2">
        <v>3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1" t="s">
        <v>25</v>
      </c>
      <c r="Q121" s="1" t="s">
        <v>26</v>
      </c>
      <c r="R121" s="1" t="s">
        <v>302</v>
      </c>
      <c r="S121" s="1">
        <v>0</v>
      </c>
      <c r="T121" s="1">
        <v>0</v>
      </c>
      <c r="U121" s="1">
        <f t="shared" si="10"/>
        <v>0</v>
      </c>
      <c r="V121" s="1">
        <v>1</v>
      </c>
      <c r="W121" s="1">
        <f t="shared" si="11"/>
        <v>1</v>
      </c>
      <c r="X121" s="5" t="e">
        <f t="shared" si="9"/>
        <v>#DIV/0!</v>
      </c>
    </row>
    <row r="122" spans="1:24" ht="15" customHeight="1">
      <c r="A122" s="6">
        <v>46054</v>
      </c>
      <c r="B122" s="1" t="s">
        <v>18</v>
      </c>
      <c r="C122" s="1" t="s">
        <v>367</v>
      </c>
      <c r="D122" s="1" t="s">
        <v>394</v>
      </c>
      <c r="E122" s="1" t="s">
        <v>393</v>
      </c>
      <c r="F122" s="1" t="s">
        <v>391</v>
      </c>
      <c r="G122" s="1" t="s">
        <v>43</v>
      </c>
      <c r="H122" s="1" t="s">
        <v>24</v>
      </c>
      <c r="I122" s="2">
        <v>4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1" t="s">
        <v>25</v>
      </c>
      <c r="Q122" s="1" t="s">
        <v>26</v>
      </c>
      <c r="R122" s="1" t="s">
        <v>302</v>
      </c>
      <c r="S122" s="1">
        <v>0</v>
      </c>
      <c r="T122" s="1">
        <v>0</v>
      </c>
      <c r="U122" s="1">
        <f t="shared" si="10"/>
        <v>0</v>
      </c>
      <c r="V122" s="1">
        <v>1</v>
      </c>
      <c r="W122" s="1">
        <f t="shared" si="11"/>
        <v>1</v>
      </c>
      <c r="X122" s="5" t="e">
        <f t="shared" si="9"/>
        <v>#DIV/0!</v>
      </c>
    </row>
    <row r="123" spans="1:24" ht="15" customHeight="1">
      <c r="A123" s="6">
        <v>46054</v>
      </c>
      <c r="B123" s="1" t="s">
        <v>18</v>
      </c>
      <c r="C123" s="1" t="s">
        <v>367</v>
      </c>
      <c r="D123" s="1" t="s">
        <v>395</v>
      </c>
      <c r="E123" s="1" t="s">
        <v>396</v>
      </c>
      <c r="F123" s="1" t="s">
        <v>391</v>
      </c>
      <c r="G123" s="1" t="s">
        <v>43</v>
      </c>
      <c r="H123" s="1" t="s">
        <v>24</v>
      </c>
      <c r="I123" s="2">
        <v>2</v>
      </c>
      <c r="J123" s="2">
        <v>87029</v>
      </c>
      <c r="K123" s="2">
        <v>6592</v>
      </c>
      <c r="L123" s="2">
        <v>0</v>
      </c>
      <c r="M123" s="2">
        <v>0</v>
      </c>
      <c r="N123" s="2">
        <v>556</v>
      </c>
      <c r="O123" s="2">
        <v>94177</v>
      </c>
      <c r="P123" s="1" t="s">
        <v>25</v>
      </c>
      <c r="Q123" s="1" t="s">
        <v>35</v>
      </c>
      <c r="R123" s="1" t="s">
        <v>36</v>
      </c>
      <c r="S123" s="1">
        <v>0</v>
      </c>
      <c r="T123" s="1">
        <v>1</v>
      </c>
      <c r="U123" s="1">
        <f t="shared" ref="U123:U124" si="12">T123+S123</f>
        <v>1</v>
      </c>
      <c r="V123" s="1">
        <v>0</v>
      </c>
      <c r="W123" s="1">
        <f t="shared" si="11"/>
        <v>1</v>
      </c>
      <c r="X123" s="5">
        <f t="shared" si="9"/>
        <v>0</v>
      </c>
    </row>
    <row r="124" spans="1:24" ht="15" customHeight="1">
      <c r="A124" s="6">
        <v>46054</v>
      </c>
      <c r="B124" s="1" t="s">
        <v>18</v>
      </c>
      <c r="C124" s="1" t="s">
        <v>367</v>
      </c>
      <c r="D124" s="1" t="s">
        <v>397</v>
      </c>
      <c r="E124" s="1" t="s">
        <v>398</v>
      </c>
      <c r="F124" s="1" t="s">
        <v>399</v>
      </c>
      <c r="G124" s="1" t="s">
        <v>43</v>
      </c>
      <c r="H124" s="1" t="s">
        <v>24</v>
      </c>
      <c r="I124" s="2">
        <v>2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1" t="s">
        <v>25</v>
      </c>
      <c r="Q124" s="1" t="s">
        <v>26</v>
      </c>
      <c r="R124" s="1" t="s">
        <v>27</v>
      </c>
      <c r="S124" s="1">
        <v>0</v>
      </c>
      <c r="T124" s="1">
        <v>0</v>
      </c>
      <c r="U124" s="1">
        <f t="shared" si="12"/>
        <v>0</v>
      </c>
      <c r="V124" s="1">
        <v>1</v>
      </c>
      <c r="W124" s="1">
        <f t="shared" si="11"/>
        <v>1</v>
      </c>
      <c r="X124" s="5" t="e">
        <f t="shared" si="9"/>
        <v>#DIV/0!</v>
      </c>
    </row>
    <row r="125" spans="1:24" ht="15" customHeight="1">
      <c r="A125" s="6">
        <v>46054</v>
      </c>
      <c r="B125" s="1" t="s">
        <v>18</v>
      </c>
      <c r="C125" s="1" t="s">
        <v>367</v>
      </c>
      <c r="D125" s="1" t="s">
        <v>400</v>
      </c>
      <c r="E125" s="1" t="s">
        <v>308</v>
      </c>
      <c r="F125" s="1" t="s">
        <v>401</v>
      </c>
      <c r="G125" s="1" t="s">
        <v>402</v>
      </c>
      <c r="H125" s="1" t="s">
        <v>24</v>
      </c>
      <c r="I125" s="2">
        <v>1</v>
      </c>
      <c r="J125" s="2">
        <v>13787</v>
      </c>
      <c r="K125" s="2">
        <v>6613</v>
      </c>
      <c r="L125" s="2">
        <v>0</v>
      </c>
      <c r="M125" s="2">
        <v>0</v>
      </c>
      <c r="N125" s="2">
        <v>100</v>
      </c>
      <c r="O125" s="2">
        <v>20500</v>
      </c>
      <c r="P125" s="1" t="s">
        <v>25</v>
      </c>
      <c r="Q125" s="1" t="s">
        <v>35</v>
      </c>
      <c r="R125" s="1" t="s">
        <v>311</v>
      </c>
      <c r="S125" s="1">
        <v>1</v>
      </c>
      <c r="T125" s="1">
        <v>0</v>
      </c>
      <c r="U125" s="1">
        <f t="shared" ref="U125:U126" si="13">T125+S125</f>
        <v>1</v>
      </c>
      <c r="V125" s="1">
        <v>0</v>
      </c>
      <c r="W125" s="1">
        <f t="shared" si="11"/>
        <v>1</v>
      </c>
      <c r="X125" s="5">
        <f t="shared" si="9"/>
        <v>100</v>
      </c>
    </row>
    <row r="126" spans="1:24" ht="15" customHeight="1">
      <c r="A126" s="6">
        <v>46054</v>
      </c>
      <c r="B126" s="1" t="s">
        <v>18</v>
      </c>
      <c r="C126" s="1" t="s">
        <v>367</v>
      </c>
      <c r="D126" s="1" t="s">
        <v>403</v>
      </c>
      <c r="E126" s="1" t="s">
        <v>404</v>
      </c>
      <c r="F126" s="1" t="s">
        <v>405</v>
      </c>
      <c r="G126" s="1" t="s">
        <v>406</v>
      </c>
      <c r="H126" s="1" t="s">
        <v>24</v>
      </c>
      <c r="I126" s="2">
        <v>4.9000000000000004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1" t="s">
        <v>25</v>
      </c>
      <c r="Q126" s="1" t="s">
        <v>26</v>
      </c>
      <c r="R126" s="1" t="s">
        <v>302</v>
      </c>
      <c r="S126" s="1">
        <v>0</v>
      </c>
      <c r="T126" s="1">
        <v>0</v>
      </c>
      <c r="U126" s="1">
        <f t="shared" si="13"/>
        <v>0</v>
      </c>
      <c r="V126" s="1">
        <v>1</v>
      </c>
      <c r="W126" s="1">
        <f t="shared" si="11"/>
        <v>1</v>
      </c>
      <c r="X126" s="5" t="e">
        <f t="shared" si="9"/>
        <v>#DIV/0!</v>
      </c>
    </row>
    <row r="127" spans="1:24">
      <c r="A127" s="6">
        <v>46054</v>
      </c>
      <c r="B127" s="1" t="s">
        <v>18</v>
      </c>
      <c r="C127" s="1" t="s">
        <v>367</v>
      </c>
      <c r="D127" s="1" t="s">
        <v>407</v>
      </c>
      <c r="E127" s="1" t="s">
        <v>408</v>
      </c>
      <c r="F127" s="1" t="s">
        <v>409</v>
      </c>
      <c r="G127" s="1" t="s">
        <v>402</v>
      </c>
      <c r="H127" s="1" t="s">
        <v>24</v>
      </c>
      <c r="I127" s="2">
        <v>1</v>
      </c>
      <c r="J127" s="2">
        <v>26639</v>
      </c>
      <c r="K127" s="2">
        <v>1184</v>
      </c>
      <c r="L127" s="2">
        <v>0</v>
      </c>
      <c r="M127" s="2">
        <v>0</v>
      </c>
      <c r="N127" s="2">
        <v>100</v>
      </c>
      <c r="O127" s="2">
        <v>27923</v>
      </c>
      <c r="P127" s="1" t="s">
        <v>25</v>
      </c>
      <c r="Q127" s="1" t="s">
        <v>35</v>
      </c>
      <c r="R127" s="1" t="s">
        <v>311</v>
      </c>
      <c r="S127" s="1">
        <v>0</v>
      </c>
      <c r="T127" s="1">
        <v>1</v>
      </c>
      <c r="U127" s="1">
        <f t="shared" ref="U127:U129" si="14">T127+S127</f>
        <v>1</v>
      </c>
      <c r="V127" s="1">
        <v>0</v>
      </c>
      <c r="W127" s="1">
        <f t="shared" si="11"/>
        <v>1</v>
      </c>
      <c r="X127" s="5">
        <f t="shared" si="9"/>
        <v>0</v>
      </c>
    </row>
    <row r="128" spans="1:24" ht="15" customHeight="1">
      <c r="A128" s="6">
        <v>46054</v>
      </c>
      <c r="B128" s="1" t="s">
        <v>18</v>
      </c>
      <c r="C128" s="1" t="s">
        <v>367</v>
      </c>
      <c r="D128" s="1" t="s">
        <v>410</v>
      </c>
      <c r="E128" s="1" t="s">
        <v>398</v>
      </c>
      <c r="F128" s="1" t="s">
        <v>411</v>
      </c>
      <c r="G128" s="1" t="s">
        <v>412</v>
      </c>
      <c r="H128" s="1" t="s">
        <v>24</v>
      </c>
      <c r="I128" s="2">
        <v>2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1" t="s">
        <v>25</v>
      </c>
      <c r="Q128" s="1" t="s">
        <v>26</v>
      </c>
      <c r="R128" s="1" t="s">
        <v>27</v>
      </c>
      <c r="S128" s="1">
        <v>0</v>
      </c>
      <c r="T128" s="1">
        <v>0</v>
      </c>
      <c r="U128" s="1">
        <f t="shared" si="14"/>
        <v>0</v>
      </c>
      <c r="V128" s="1">
        <v>1</v>
      </c>
      <c r="W128" s="1">
        <f t="shared" si="11"/>
        <v>1</v>
      </c>
      <c r="X128" s="5" t="e">
        <f t="shared" si="9"/>
        <v>#DIV/0!</v>
      </c>
    </row>
    <row r="129" spans="1:24" ht="15" customHeight="1">
      <c r="A129" s="6">
        <v>46054</v>
      </c>
      <c r="B129" s="1" t="s">
        <v>18</v>
      </c>
      <c r="C129" s="1" t="s">
        <v>367</v>
      </c>
      <c r="D129" s="1" t="s">
        <v>413</v>
      </c>
      <c r="E129" s="1" t="s">
        <v>414</v>
      </c>
      <c r="F129" s="1" t="s">
        <v>412</v>
      </c>
      <c r="G129" s="1"/>
      <c r="H129" s="1" t="s">
        <v>24</v>
      </c>
      <c r="I129" s="2">
        <v>5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1" t="s">
        <v>25</v>
      </c>
      <c r="Q129" s="1" t="s">
        <v>26</v>
      </c>
      <c r="R129" s="1" t="s">
        <v>302</v>
      </c>
      <c r="S129" s="1">
        <v>0</v>
      </c>
      <c r="T129" s="1">
        <v>0</v>
      </c>
      <c r="U129" s="1">
        <f t="shared" si="14"/>
        <v>0</v>
      </c>
      <c r="V129" s="1">
        <v>1</v>
      </c>
      <c r="W129" s="1">
        <f t="shared" si="11"/>
        <v>1</v>
      </c>
      <c r="X129" s="5" t="e">
        <f t="shared" ref="X129:X192" si="15">100/U129*S129</f>
        <v>#DIV/0!</v>
      </c>
    </row>
    <row r="130" spans="1:24" ht="15" customHeight="1">
      <c r="A130" s="6">
        <v>46054</v>
      </c>
      <c r="B130" s="1" t="s">
        <v>18</v>
      </c>
      <c r="C130" s="1" t="s">
        <v>367</v>
      </c>
      <c r="D130" s="1" t="s">
        <v>415</v>
      </c>
      <c r="E130" s="1" t="s">
        <v>416</v>
      </c>
      <c r="F130" s="1" t="s">
        <v>417</v>
      </c>
      <c r="G130" s="1" t="s">
        <v>43</v>
      </c>
      <c r="H130" s="1" t="s">
        <v>24</v>
      </c>
      <c r="I130" s="2">
        <v>1.5</v>
      </c>
      <c r="J130" s="2">
        <v>65557</v>
      </c>
      <c r="K130" s="2">
        <v>5876</v>
      </c>
      <c r="L130" s="2">
        <v>0</v>
      </c>
      <c r="M130" s="2">
        <v>0</v>
      </c>
      <c r="N130" s="2">
        <v>382</v>
      </c>
      <c r="O130" s="2">
        <v>71815</v>
      </c>
      <c r="P130" s="1" t="s">
        <v>25</v>
      </c>
      <c r="Q130" s="1" t="s">
        <v>35</v>
      </c>
      <c r="R130" s="1" t="s">
        <v>36</v>
      </c>
      <c r="S130" s="1">
        <v>1</v>
      </c>
      <c r="T130" s="1">
        <v>0</v>
      </c>
      <c r="U130" s="1">
        <f t="shared" ref="U130:U193" si="16">T130+S130</f>
        <v>1</v>
      </c>
      <c r="V130" s="1">
        <v>0</v>
      </c>
      <c r="W130" s="1">
        <f t="shared" ref="W130:W193" si="17">V130+U130</f>
        <v>1</v>
      </c>
      <c r="X130" s="5">
        <f t="shared" si="15"/>
        <v>100</v>
      </c>
    </row>
    <row r="131" spans="1:24" ht="15" customHeight="1">
      <c r="A131" s="6">
        <v>46054</v>
      </c>
      <c r="B131" s="1" t="s">
        <v>18</v>
      </c>
      <c r="C131" s="1" t="s">
        <v>367</v>
      </c>
      <c r="D131" s="1" t="s">
        <v>418</v>
      </c>
      <c r="E131" s="1" t="s">
        <v>419</v>
      </c>
      <c r="F131" s="1"/>
      <c r="G131" s="1"/>
      <c r="H131" s="1" t="s">
        <v>128</v>
      </c>
      <c r="I131" s="2">
        <v>0.78</v>
      </c>
      <c r="J131" s="2">
        <v>10820.25</v>
      </c>
      <c r="K131" s="2">
        <v>1856</v>
      </c>
      <c r="L131" s="2">
        <v>1804</v>
      </c>
      <c r="M131" s="2">
        <v>0</v>
      </c>
      <c r="N131" s="2">
        <v>0</v>
      </c>
      <c r="O131" s="2">
        <v>10872.25</v>
      </c>
      <c r="P131" s="1" t="s">
        <v>25</v>
      </c>
      <c r="Q131" s="1" t="s">
        <v>35</v>
      </c>
      <c r="R131" s="1" t="s">
        <v>153</v>
      </c>
      <c r="S131" s="1">
        <v>1</v>
      </c>
      <c r="T131" s="1">
        <v>0</v>
      </c>
      <c r="U131" s="1">
        <f t="shared" si="16"/>
        <v>1</v>
      </c>
      <c r="V131" s="1">
        <v>0</v>
      </c>
      <c r="W131" s="1">
        <f t="shared" si="17"/>
        <v>1</v>
      </c>
      <c r="X131" s="5">
        <f t="shared" si="15"/>
        <v>100</v>
      </c>
    </row>
    <row r="132" spans="1:24" ht="15" customHeight="1">
      <c r="A132" s="6">
        <v>46054</v>
      </c>
      <c r="B132" s="1" t="s">
        <v>18</v>
      </c>
      <c r="C132" s="1" t="s">
        <v>367</v>
      </c>
      <c r="D132" s="1" t="s">
        <v>420</v>
      </c>
      <c r="E132" s="1" t="s">
        <v>398</v>
      </c>
      <c r="F132" s="1" t="s">
        <v>421</v>
      </c>
      <c r="G132" s="1" t="s">
        <v>43</v>
      </c>
      <c r="H132" s="1" t="s">
        <v>24</v>
      </c>
      <c r="I132" s="2">
        <v>2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1" t="s">
        <v>25</v>
      </c>
      <c r="Q132" s="1" t="s">
        <v>26</v>
      </c>
      <c r="R132" s="1" t="s">
        <v>27</v>
      </c>
      <c r="S132" s="1">
        <v>0</v>
      </c>
      <c r="T132" s="1">
        <v>0</v>
      </c>
      <c r="U132" s="1">
        <f t="shared" si="16"/>
        <v>0</v>
      </c>
      <c r="V132" s="1">
        <v>1</v>
      </c>
      <c r="W132" s="1">
        <f t="shared" si="17"/>
        <v>1</v>
      </c>
      <c r="X132" s="5" t="e">
        <f t="shared" si="15"/>
        <v>#DIV/0!</v>
      </c>
    </row>
    <row r="133" spans="1:24" ht="15" customHeight="1">
      <c r="A133" s="6">
        <v>46054</v>
      </c>
      <c r="B133" s="1" t="s">
        <v>18</v>
      </c>
      <c r="C133" s="1" t="s">
        <v>367</v>
      </c>
      <c r="D133" s="1" t="s">
        <v>422</v>
      </c>
      <c r="E133" s="1" t="s">
        <v>423</v>
      </c>
      <c r="F133" s="1" t="s">
        <v>424</v>
      </c>
      <c r="G133" s="1" t="s">
        <v>402</v>
      </c>
      <c r="H133" s="1" t="s">
        <v>24</v>
      </c>
      <c r="I133" s="2">
        <v>1</v>
      </c>
      <c r="J133" s="2">
        <v>15260</v>
      </c>
      <c r="K133" s="2">
        <v>1180</v>
      </c>
      <c r="L133" s="2">
        <v>0</v>
      </c>
      <c r="M133" s="2">
        <v>0</v>
      </c>
      <c r="N133" s="2">
        <v>100</v>
      </c>
      <c r="O133" s="2">
        <v>16540</v>
      </c>
      <c r="P133" s="1" t="s">
        <v>25</v>
      </c>
      <c r="Q133" s="1" t="s">
        <v>35</v>
      </c>
      <c r="R133" s="1" t="s">
        <v>311</v>
      </c>
      <c r="S133" s="1">
        <v>1</v>
      </c>
      <c r="T133" s="1">
        <v>0</v>
      </c>
      <c r="U133" s="1">
        <f t="shared" si="16"/>
        <v>1</v>
      </c>
      <c r="V133" s="1">
        <v>0</v>
      </c>
      <c r="W133" s="1">
        <f t="shared" si="17"/>
        <v>1</v>
      </c>
      <c r="X133" s="5">
        <f t="shared" si="15"/>
        <v>100</v>
      </c>
    </row>
    <row r="134" spans="1:24" ht="15" customHeight="1">
      <c r="A134" s="6">
        <v>46054</v>
      </c>
      <c r="B134" s="1" t="s">
        <v>18</v>
      </c>
      <c r="C134" s="1" t="s">
        <v>367</v>
      </c>
      <c r="D134" s="1" t="s">
        <v>425</v>
      </c>
      <c r="E134" s="1" t="s">
        <v>398</v>
      </c>
      <c r="F134" s="1" t="s">
        <v>426</v>
      </c>
      <c r="G134" s="1" t="s">
        <v>427</v>
      </c>
      <c r="H134" s="1" t="s">
        <v>24</v>
      </c>
      <c r="I134" s="2">
        <v>2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1" t="s">
        <v>25</v>
      </c>
      <c r="Q134" s="1" t="s">
        <v>26</v>
      </c>
      <c r="R134" s="1" t="s">
        <v>27</v>
      </c>
      <c r="S134" s="1">
        <v>0</v>
      </c>
      <c r="T134" s="1">
        <v>0</v>
      </c>
      <c r="U134" s="1">
        <f t="shared" si="16"/>
        <v>0</v>
      </c>
      <c r="V134" s="1">
        <v>1</v>
      </c>
      <c r="W134" s="1">
        <f t="shared" si="17"/>
        <v>1</v>
      </c>
      <c r="X134" s="5" t="e">
        <f t="shared" si="15"/>
        <v>#DIV/0!</v>
      </c>
    </row>
    <row r="135" spans="1:24" ht="15" customHeight="1">
      <c r="A135" s="6">
        <v>46054</v>
      </c>
      <c r="B135" s="1" t="s">
        <v>49</v>
      </c>
      <c r="C135" s="1" t="s">
        <v>367</v>
      </c>
      <c r="D135" s="1" t="s">
        <v>428</v>
      </c>
      <c r="E135" s="1" t="s">
        <v>429</v>
      </c>
      <c r="F135" s="1" t="s">
        <v>430</v>
      </c>
      <c r="G135" s="1" t="s">
        <v>43</v>
      </c>
      <c r="H135" s="1" t="s">
        <v>54</v>
      </c>
      <c r="I135" s="2">
        <v>28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1" t="s">
        <v>25</v>
      </c>
      <c r="Q135" s="1" t="s">
        <v>26</v>
      </c>
      <c r="R135" s="1" t="s">
        <v>66</v>
      </c>
      <c r="S135" s="1">
        <v>0</v>
      </c>
      <c r="T135" s="1">
        <v>0</v>
      </c>
      <c r="U135" s="1">
        <f t="shared" si="16"/>
        <v>0</v>
      </c>
      <c r="V135" s="1">
        <v>1</v>
      </c>
      <c r="W135" s="1">
        <f t="shared" si="17"/>
        <v>1</v>
      </c>
      <c r="X135" s="5" t="e">
        <f t="shared" si="15"/>
        <v>#DIV/0!</v>
      </c>
    </row>
    <row r="136" spans="1:24" ht="15" customHeight="1">
      <c r="A136" s="6">
        <v>46054</v>
      </c>
      <c r="B136" s="1" t="s">
        <v>49</v>
      </c>
      <c r="C136" s="1" t="s">
        <v>367</v>
      </c>
      <c r="D136" s="1" t="s">
        <v>431</v>
      </c>
      <c r="E136" s="1" t="s">
        <v>64</v>
      </c>
      <c r="F136" s="1" t="s">
        <v>432</v>
      </c>
      <c r="G136" s="1" t="s">
        <v>107</v>
      </c>
      <c r="H136" s="1" t="s">
        <v>433</v>
      </c>
      <c r="I136" s="2">
        <v>200</v>
      </c>
      <c r="J136" s="2">
        <v>-7910</v>
      </c>
      <c r="K136" s="2">
        <v>0</v>
      </c>
      <c r="L136" s="2">
        <v>0</v>
      </c>
      <c r="M136" s="2">
        <v>0</v>
      </c>
      <c r="N136" s="2">
        <v>0</v>
      </c>
      <c r="O136" s="2">
        <v>-7910</v>
      </c>
      <c r="P136" s="1" t="s">
        <v>25</v>
      </c>
      <c r="Q136" s="1" t="s">
        <v>26</v>
      </c>
      <c r="R136" s="1" t="s">
        <v>371</v>
      </c>
      <c r="S136" s="1">
        <v>0</v>
      </c>
      <c r="T136" s="1">
        <v>0</v>
      </c>
      <c r="U136" s="1">
        <f t="shared" si="16"/>
        <v>0</v>
      </c>
      <c r="V136" s="1">
        <v>1</v>
      </c>
      <c r="W136" s="1">
        <f t="shared" si="17"/>
        <v>1</v>
      </c>
      <c r="X136" s="5" t="e">
        <f t="shared" si="15"/>
        <v>#DIV/0!</v>
      </c>
    </row>
    <row r="137" spans="1:24" ht="15" customHeight="1">
      <c r="A137" s="6">
        <v>46054</v>
      </c>
      <c r="B137" s="1" t="s">
        <v>49</v>
      </c>
      <c r="C137" s="1" t="s">
        <v>367</v>
      </c>
      <c r="D137" s="1" t="s">
        <v>434</v>
      </c>
      <c r="E137" s="1" t="s">
        <v>169</v>
      </c>
      <c r="F137" s="1" t="s">
        <v>435</v>
      </c>
      <c r="G137" s="1" t="s">
        <v>43</v>
      </c>
      <c r="H137" s="1" t="s">
        <v>54</v>
      </c>
      <c r="I137" s="2">
        <v>200</v>
      </c>
      <c r="J137" s="2">
        <v>685033</v>
      </c>
      <c r="K137" s="2">
        <v>4169</v>
      </c>
      <c r="L137" s="2">
        <v>0</v>
      </c>
      <c r="M137" s="2">
        <v>0</v>
      </c>
      <c r="N137" s="2">
        <v>531</v>
      </c>
      <c r="O137" s="2">
        <v>689733</v>
      </c>
      <c r="P137" s="1" t="s">
        <v>25</v>
      </c>
      <c r="Q137" s="1" t="s">
        <v>35</v>
      </c>
      <c r="R137" s="1" t="s">
        <v>66</v>
      </c>
      <c r="S137" s="1">
        <v>1</v>
      </c>
      <c r="T137" s="1">
        <v>0</v>
      </c>
      <c r="U137" s="1">
        <f t="shared" si="16"/>
        <v>1</v>
      </c>
      <c r="V137" s="1">
        <v>0</v>
      </c>
      <c r="W137" s="1">
        <f t="shared" si="17"/>
        <v>1</v>
      </c>
      <c r="X137" s="5">
        <f t="shared" si="15"/>
        <v>100</v>
      </c>
    </row>
    <row r="138" spans="1:24" ht="15" customHeight="1">
      <c r="A138" s="6">
        <v>46054</v>
      </c>
      <c r="B138" s="1" t="s">
        <v>49</v>
      </c>
      <c r="C138" s="1" t="s">
        <v>367</v>
      </c>
      <c r="D138" s="1" t="s">
        <v>436</v>
      </c>
      <c r="E138" s="1" t="s">
        <v>169</v>
      </c>
      <c r="F138" s="1" t="s">
        <v>437</v>
      </c>
      <c r="G138" s="1" t="s">
        <v>43</v>
      </c>
      <c r="H138" s="1" t="s">
        <v>54</v>
      </c>
      <c r="I138" s="2">
        <v>200</v>
      </c>
      <c r="J138" s="2">
        <v>2300583</v>
      </c>
      <c r="K138" s="2">
        <v>0</v>
      </c>
      <c r="L138" s="2">
        <v>0</v>
      </c>
      <c r="M138" s="2">
        <v>0</v>
      </c>
      <c r="N138" s="2">
        <v>0</v>
      </c>
      <c r="O138" s="2">
        <v>2300583</v>
      </c>
      <c r="P138" s="1" t="s">
        <v>25</v>
      </c>
      <c r="Q138" s="1" t="s">
        <v>26</v>
      </c>
      <c r="R138" s="1" t="s">
        <v>438</v>
      </c>
      <c r="S138" s="1">
        <v>0</v>
      </c>
      <c r="T138" s="1">
        <v>0</v>
      </c>
      <c r="U138" s="1">
        <f t="shared" si="16"/>
        <v>0</v>
      </c>
      <c r="V138" s="1">
        <v>1</v>
      </c>
      <c r="W138" s="1">
        <f t="shared" si="17"/>
        <v>1</v>
      </c>
      <c r="X138" s="5" t="e">
        <f t="shared" si="15"/>
        <v>#DIV/0!</v>
      </c>
    </row>
    <row r="139" spans="1:24" ht="15" customHeight="1">
      <c r="A139" s="6">
        <v>46054</v>
      </c>
      <c r="B139" s="1" t="s">
        <v>49</v>
      </c>
      <c r="C139" s="1" t="s">
        <v>367</v>
      </c>
      <c r="D139" s="1" t="s">
        <v>439</v>
      </c>
      <c r="E139" s="1" t="s">
        <v>440</v>
      </c>
      <c r="F139" s="1" t="s">
        <v>441</v>
      </c>
      <c r="G139" s="1" t="s">
        <v>43</v>
      </c>
      <c r="H139" s="1" t="s">
        <v>54</v>
      </c>
      <c r="I139" s="2">
        <v>200</v>
      </c>
      <c r="J139" s="2">
        <v>254368</v>
      </c>
      <c r="K139" s="2">
        <v>0</v>
      </c>
      <c r="L139" s="2">
        <v>0</v>
      </c>
      <c r="M139" s="2">
        <v>0</v>
      </c>
      <c r="N139" s="2">
        <v>0</v>
      </c>
      <c r="O139" s="2">
        <v>254368</v>
      </c>
      <c r="P139" s="1" t="s">
        <v>25</v>
      </c>
      <c r="Q139" s="1" t="s">
        <v>26</v>
      </c>
      <c r="R139" s="1" t="s">
        <v>66</v>
      </c>
      <c r="S139" s="1">
        <v>0</v>
      </c>
      <c r="T139" s="1">
        <v>0</v>
      </c>
      <c r="U139" s="1">
        <f t="shared" si="16"/>
        <v>0</v>
      </c>
      <c r="V139" s="1">
        <v>1</v>
      </c>
      <c r="W139" s="1">
        <f t="shared" si="17"/>
        <v>1</v>
      </c>
      <c r="X139" s="5" t="e">
        <f t="shared" si="15"/>
        <v>#DIV/0!</v>
      </c>
    </row>
    <row r="140" spans="1:24" ht="15" customHeight="1">
      <c r="A140" s="6">
        <v>46054</v>
      </c>
      <c r="B140" s="1" t="s">
        <v>49</v>
      </c>
      <c r="C140" s="1" t="s">
        <v>367</v>
      </c>
      <c r="D140" s="1" t="s">
        <v>442</v>
      </c>
      <c r="E140" s="1" t="s">
        <v>64</v>
      </c>
      <c r="F140" s="1" t="s">
        <v>443</v>
      </c>
      <c r="G140" s="1" t="s">
        <v>215</v>
      </c>
      <c r="H140" s="1" t="s">
        <v>54</v>
      </c>
      <c r="I140" s="2">
        <v>200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1" t="s">
        <v>25</v>
      </c>
      <c r="Q140" s="1" t="s">
        <v>26</v>
      </c>
      <c r="R140" s="1" t="s">
        <v>66</v>
      </c>
      <c r="S140" s="1">
        <v>0</v>
      </c>
      <c r="T140" s="1">
        <v>0</v>
      </c>
      <c r="U140" s="1">
        <f t="shared" si="16"/>
        <v>0</v>
      </c>
      <c r="V140" s="1">
        <v>1</v>
      </c>
      <c r="W140" s="1">
        <f t="shared" si="17"/>
        <v>1</v>
      </c>
      <c r="X140" s="5" t="e">
        <f t="shared" si="15"/>
        <v>#DIV/0!</v>
      </c>
    </row>
    <row r="141" spans="1:24" ht="15" customHeight="1">
      <c r="A141" s="6">
        <v>46054</v>
      </c>
      <c r="B141" s="1" t="s">
        <v>49</v>
      </c>
      <c r="C141" s="1" t="s">
        <v>367</v>
      </c>
      <c r="D141" s="1" t="s">
        <v>444</v>
      </c>
      <c r="E141" s="1" t="s">
        <v>73</v>
      </c>
      <c r="F141" s="1" t="s">
        <v>445</v>
      </c>
      <c r="G141" s="1" t="s">
        <v>43</v>
      </c>
      <c r="H141" s="1" t="s">
        <v>54</v>
      </c>
      <c r="I141" s="2">
        <v>200</v>
      </c>
      <c r="J141" s="2">
        <v>313739</v>
      </c>
      <c r="K141" s="2">
        <v>3669</v>
      </c>
      <c r="L141" s="2">
        <v>0</v>
      </c>
      <c r="M141" s="2">
        <v>0</v>
      </c>
      <c r="N141" s="2">
        <v>468</v>
      </c>
      <c r="O141" s="2">
        <v>317876</v>
      </c>
      <c r="P141" s="1" t="s">
        <v>25</v>
      </c>
      <c r="Q141" s="1" t="s">
        <v>35</v>
      </c>
      <c r="R141" s="1" t="s">
        <v>66</v>
      </c>
      <c r="S141" s="1">
        <v>1</v>
      </c>
      <c r="T141" s="1">
        <v>0</v>
      </c>
      <c r="U141" s="1">
        <f t="shared" si="16"/>
        <v>1</v>
      </c>
      <c r="V141" s="1">
        <v>0</v>
      </c>
      <c r="W141" s="1">
        <f t="shared" si="17"/>
        <v>1</v>
      </c>
      <c r="X141" s="5">
        <f t="shared" si="15"/>
        <v>100</v>
      </c>
    </row>
    <row r="142" spans="1:24" ht="15" customHeight="1">
      <c r="A142" s="6">
        <v>46054</v>
      </c>
      <c r="B142" s="1" t="s">
        <v>49</v>
      </c>
      <c r="C142" s="1" t="s">
        <v>367</v>
      </c>
      <c r="D142" s="1" t="s">
        <v>446</v>
      </c>
      <c r="E142" s="1" t="s">
        <v>73</v>
      </c>
      <c r="F142" s="1" t="s">
        <v>447</v>
      </c>
      <c r="G142" s="1" t="s">
        <v>43</v>
      </c>
      <c r="H142" s="1" t="s">
        <v>54</v>
      </c>
      <c r="I142" s="2">
        <v>200</v>
      </c>
      <c r="J142" s="2">
        <v>1242846</v>
      </c>
      <c r="K142" s="2">
        <v>26432</v>
      </c>
      <c r="L142" s="2">
        <v>0</v>
      </c>
      <c r="M142" s="2">
        <v>0</v>
      </c>
      <c r="N142" s="2">
        <v>3843</v>
      </c>
      <c r="O142" s="2">
        <v>1273121</v>
      </c>
      <c r="P142" s="1" t="s">
        <v>25</v>
      </c>
      <c r="Q142" s="1" t="s">
        <v>35</v>
      </c>
      <c r="R142" s="1" t="s">
        <v>66</v>
      </c>
      <c r="S142" s="1">
        <v>1</v>
      </c>
      <c r="T142" s="1">
        <v>0</v>
      </c>
      <c r="U142" s="1">
        <f t="shared" si="16"/>
        <v>1</v>
      </c>
      <c r="V142" s="1">
        <v>0</v>
      </c>
      <c r="W142" s="1">
        <f t="shared" si="17"/>
        <v>1</v>
      </c>
      <c r="X142" s="5">
        <f t="shared" si="15"/>
        <v>100</v>
      </c>
    </row>
    <row r="143" spans="1:24" ht="15" customHeight="1">
      <c r="A143" s="6">
        <v>46054</v>
      </c>
      <c r="B143" s="1" t="s">
        <v>49</v>
      </c>
      <c r="C143" s="1" t="s">
        <v>367</v>
      </c>
      <c r="D143" s="1" t="s">
        <v>448</v>
      </c>
      <c r="E143" s="1" t="s">
        <v>449</v>
      </c>
      <c r="F143" s="1" t="s">
        <v>450</v>
      </c>
      <c r="G143" s="1" t="s">
        <v>43</v>
      </c>
      <c r="H143" s="1" t="s">
        <v>54</v>
      </c>
      <c r="I143" s="2">
        <v>28</v>
      </c>
      <c r="J143" s="2">
        <v>4462102</v>
      </c>
      <c r="K143" s="2">
        <v>0</v>
      </c>
      <c r="L143" s="2">
        <v>0</v>
      </c>
      <c r="M143" s="2">
        <v>0</v>
      </c>
      <c r="N143" s="2">
        <v>0</v>
      </c>
      <c r="O143" s="2">
        <v>4462102</v>
      </c>
      <c r="P143" s="1" t="s">
        <v>25</v>
      </c>
      <c r="Q143" s="1" t="s">
        <v>26</v>
      </c>
      <c r="R143" s="1" t="s">
        <v>66</v>
      </c>
      <c r="S143" s="1">
        <v>0</v>
      </c>
      <c r="T143" s="1">
        <v>0</v>
      </c>
      <c r="U143" s="1">
        <f t="shared" si="16"/>
        <v>0</v>
      </c>
      <c r="V143" s="1">
        <v>1</v>
      </c>
      <c r="W143" s="1">
        <f t="shared" si="17"/>
        <v>1</v>
      </c>
      <c r="X143" s="5" t="e">
        <f t="shared" si="15"/>
        <v>#DIV/0!</v>
      </c>
    </row>
    <row r="144" spans="1:24" ht="15" customHeight="1">
      <c r="A144" s="6">
        <v>46054</v>
      </c>
      <c r="B144" s="1" t="s">
        <v>49</v>
      </c>
      <c r="C144" s="1" t="s">
        <v>367</v>
      </c>
      <c r="D144" s="1" t="s">
        <v>451</v>
      </c>
      <c r="E144" s="1" t="s">
        <v>452</v>
      </c>
      <c r="F144" s="1" t="s">
        <v>453</v>
      </c>
      <c r="G144" s="1" t="s">
        <v>454</v>
      </c>
      <c r="H144" s="1" t="s">
        <v>54</v>
      </c>
      <c r="I144" s="2">
        <v>18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1" t="s">
        <v>25</v>
      </c>
      <c r="Q144" s="1" t="s">
        <v>26</v>
      </c>
      <c r="R144" s="1" t="s">
        <v>27</v>
      </c>
      <c r="S144" s="1">
        <v>0</v>
      </c>
      <c r="T144" s="1">
        <v>0</v>
      </c>
      <c r="U144" s="1">
        <f t="shared" si="16"/>
        <v>0</v>
      </c>
      <c r="V144" s="1">
        <v>1</v>
      </c>
      <c r="W144" s="1">
        <f t="shared" si="17"/>
        <v>1</v>
      </c>
      <c r="X144" s="5" t="e">
        <f t="shared" si="15"/>
        <v>#DIV/0!</v>
      </c>
    </row>
    <row r="145" spans="1:24" ht="15" customHeight="1">
      <c r="A145" s="6">
        <v>46054</v>
      </c>
      <c r="B145" s="1" t="s">
        <v>49</v>
      </c>
      <c r="C145" s="1" t="s">
        <v>367</v>
      </c>
      <c r="D145" s="1" t="s">
        <v>455</v>
      </c>
      <c r="E145" s="1" t="s">
        <v>452</v>
      </c>
      <c r="F145" s="1" t="s">
        <v>456</v>
      </c>
      <c r="G145" s="1" t="s">
        <v>457</v>
      </c>
      <c r="H145" s="1" t="s">
        <v>54</v>
      </c>
      <c r="I145" s="2">
        <v>18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1" t="s">
        <v>25</v>
      </c>
      <c r="Q145" s="1" t="s">
        <v>26</v>
      </c>
      <c r="R145" s="1" t="s">
        <v>27</v>
      </c>
      <c r="S145" s="1">
        <v>0</v>
      </c>
      <c r="T145" s="1">
        <v>0</v>
      </c>
      <c r="U145" s="1">
        <f t="shared" si="16"/>
        <v>0</v>
      </c>
      <c r="V145" s="1">
        <v>1</v>
      </c>
      <c r="W145" s="1">
        <f t="shared" si="17"/>
        <v>1</v>
      </c>
      <c r="X145" s="5" t="e">
        <f t="shared" si="15"/>
        <v>#DIV/0!</v>
      </c>
    </row>
    <row r="146" spans="1:24" ht="15" customHeight="1">
      <c r="A146" s="6">
        <v>46054</v>
      </c>
      <c r="B146" s="1" t="s">
        <v>49</v>
      </c>
      <c r="C146" s="1" t="s">
        <v>367</v>
      </c>
      <c r="D146" s="1" t="s">
        <v>458</v>
      </c>
      <c r="E146" s="1" t="s">
        <v>459</v>
      </c>
      <c r="F146" s="1" t="s">
        <v>460</v>
      </c>
      <c r="G146" s="1" t="s">
        <v>34</v>
      </c>
      <c r="H146" s="1" t="s">
        <v>54</v>
      </c>
      <c r="I146" s="2">
        <v>25</v>
      </c>
      <c r="J146" s="2">
        <v>4005332</v>
      </c>
      <c r="K146" s="2">
        <v>219565</v>
      </c>
      <c r="L146" s="2">
        <v>0</v>
      </c>
      <c r="M146" s="2">
        <v>0</v>
      </c>
      <c r="N146" s="2">
        <v>28905</v>
      </c>
      <c r="O146" s="2">
        <v>4253802</v>
      </c>
      <c r="P146" s="1" t="s">
        <v>25</v>
      </c>
      <c r="Q146" s="1" t="s">
        <v>35</v>
      </c>
      <c r="R146" s="1" t="s">
        <v>66</v>
      </c>
      <c r="S146" s="1">
        <v>1</v>
      </c>
      <c r="T146" s="1">
        <v>0</v>
      </c>
      <c r="U146" s="1">
        <f t="shared" si="16"/>
        <v>1</v>
      </c>
      <c r="V146" s="1">
        <v>0</v>
      </c>
      <c r="W146" s="1">
        <f t="shared" si="17"/>
        <v>1</v>
      </c>
      <c r="X146" s="5">
        <f t="shared" si="15"/>
        <v>100</v>
      </c>
    </row>
    <row r="147" spans="1:24" ht="15" customHeight="1">
      <c r="A147" s="6">
        <v>46054</v>
      </c>
      <c r="B147" s="1" t="s">
        <v>49</v>
      </c>
      <c r="C147" s="1" t="s">
        <v>367</v>
      </c>
      <c r="D147" s="1" t="s">
        <v>461</v>
      </c>
      <c r="E147" s="1" t="s">
        <v>462</v>
      </c>
      <c r="F147" s="1" t="s">
        <v>463</v>
      </c>
      <c r="G147" s="1" t="s">
        <v>43</v>
      </c>
      <c r="H147" s="1" t="s">
        <v>54</v>
      </c>
      <c r="I147" s="2">
        <v>6</v>
      </c>
      <c r="J147" s="2">
        <v>-22321</v>
      </c>
      <c r="K147" s="2">
        <v>0</v>
      </c>
      <c r="L147" s="2">
        <v>0</v>
      </c>
      <c r="M147" s="2">
        <v>0</v>
      </c>
      <c r="N147" s="2">
        <v>0</v>
      </c>
      <c r="O147" s="2">
        <v>-22321</v>
      </c>
      <c r="P147" s="1" t="s">
        <v>25</v>
      </c>
      <c r="Q147" s="1" t="s">
        <v>26</v>
      </c>
      <c r="R147" s="1" t="s">
        <v>66</v>
      </c>
      <c r="S147" s="1">
        <v>0</v>
      </c>
      <c r="T147" s="1">
        <v>0</v>
      </c>
      <c r="U147" s="1">
        <f t="shared" si="16"/>
        <v>0</v>
      </c>
      <c r="V147" s="1">
        <v>1</v>
      </c>
      <c r="W147" s="1">
        <f t="shared" si="17"/>
        <v>1</v>
      </c>
      <c r="X147" s="5" t="e">
        <f t="shared" si="15"/>
        <v>#DIV/0!</v>
      </c>
    </row>
    <row r="148" spans="1:24" ht="15" customHeight="1">
      <c r="A148" s="6">
        <v>46054</v>
      </c>
      <c r="B148" s="1" t="s">
        <v>49</v>
      </c>
      <c r="C148" s="1" t="s">
        <v>367</v>
      </c>
      <c r="D148" s="1" t="s">
        <v>464</v>
      </c>
      <c r="E148" s="1" t="s">
        <v>465</v>
      </c>
      <c r="F148" s="1" t="s">
        <v>466</v>
      </c>
      <c r="G148" s="1" t="s">
        <v>43</v>
      </c>
      <c r="H148" s="1" t="s">
        <v>54</v>
      </c>
      <c r="I148" s="2">
        <v>35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1" t="s">
        <v>25</v>
      </c>
      <c r="Q148" s="1" t="s">
        <v>26</v>
      </c>
      <c r="R148" s="1" t="s">
        <v>66</v>
      </c>
      <c r="S148" s="1">
        <v>0</v>
      </c>
      <c r="T148" s="1">
        <v>0</v>
      </c>
      <c r="U148" s="1">
        <f t="shared" si="16"/>
        <v>0</v>
      </c>
      <c r="V148" s="1">
        <v>1</v>
      </c>
      <c r="W148" s="1">
        <f t="shared" si="17"/>
        <v>1</v>
      </c>
      <c r="X148" s="5" t="e">
        <f t="shared" si="15"/>
        <v>#DIV/0!</v>
      </c>
    </row>
    <row r="149" spans="1:24" ht="15" customHeight="1">
      <c r="A149" s="6">
        <v>46054</v>
      </c>
      <c r="B149" s="1" t="s">
        <v>49</v>
      </c>
      <c r="C149" s="1" t="s">
        <v>367</v>
      </c>
      <c r="D149" s="1" t="s">
        <v>467</v>
      </c>
      <c r="E149" s="1" t="s">
        <v>468</v>
      </c>
      <c r="F149" s="1" t="s">
        <v>469</v>
      </c>
      <c r="G149" s="1" t="s">
        <v>470</v>
      </c>
      <c r="H149" s="1" t="s">
        <v>54</v>
      </c>
      <c r="I149" s="2">
        <v>14</v>
      </c>
      <c r="J149" s="2">
        <v>-1092</v>
      </c>
      <c r="K149" s="2">
        <v>0</v>
      </c>
      <c r="L149" s="2">
        <v>0</v>
      </c>
      <c r="M149" s="2">
        <v>0</v>
      </c>
      <c r="N149" s="2">
        <v>0</v>
      </c>
      <c r="O149" s="2">
        <v>-1092</v>
      </c>
      <c r="P149" s="1" t="s">
        <v>25</v>
      </c>
      <c r="Q149" s="1" t="s">
        <v>26</v>
      </c>
      <c r="R149" s="1" t="s">
        <v>66</v>
      </c>
      <c r="S149" s="1">
        <v>0</v>
      </c>
      <c r="T149" s="1">
        <v>0</v>
      </c>
      <c r="U149" s="1">
        <f t="shared" si="16"/>
        <v>0</v>
      </c>
      <c r="V149" s="1">
        <v>1</v>
      </c>
      <c r="W149" s="1">
        <f t="shared" si="17"/>
        <v>1</v>
      </c>
      <c r="X149" s="5" t="e">
        <f t="shared" si="15"/>
        <v>#DIV/0!</v>
      </c>
    </row>
    <row r="150" spans="1:24" ht="15" customHeight="1">
      <c r="A150" s="6">
        <v>46054</v>
      </c>
      <c r="B150" s="1" t="s">
        <v>49</v>
      </c>
      <c r="C150" s="1" t="s">
        <v>367</v>
      </c>
      <c r="D150" s="1" t="s">
        <v>471</v>
      </c>
      <c r="E150" s="1" t="s">
        <v>181</v>
      </c>
      <c r="F150" s="1" t="s">
        <v>472</v>
      </c>
      <c r="G150" s="1" t="s">
        <v>23</v>
      </c>
      <c r="H150" s="1" t="s">
        <v>54</v>
      </c>
      <c r="I150" s="2">
        <v>1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1" t="s">
        <v>25</v>
      </c>
      <c r="Q150" s="1" t="s">
        <v>26</v>
      </c>
      <c r="R150" s="1" t="s">
        <v>66</v>
      </c>
      <c r="S150" s="1">
        <v>0</v>
      </c>
      <c r="T150" s="1">
        <v>0</v>
      </c>
      <c r="U150" s="1">
        <f t="shared" si="16"/>
        <v>0</v>
      </c>
      <c r="V150" s="1">
        <v>1</v>
      </c>
      <c r="W150" s="1">
        <f t="shared" si="17"/>
        <v>1</v>
      </c>
      <c r="X150" s="5" t="e">
        <f t="shared" si="15"/>
        <v>#DIV/0!</v>
      </c>
    </row>
    <row r="151" spans="1:24" ht="15" customHeight="1">
      <c r="A151" s="6">
        <v>46054</v>
      </c>
      <c r="B151" s="1" t="s">
        <v>61</v>
      </c>
      <c r="C151" s="1" t="s">
        <v>367</v>
      </c>
      <c r="D151" s="1" t="s">
        <v>389</v>
      </c>
      <c r="E151" s="1" t="s">
        <v>473</v>
      </c>
      <c r="F151" s="1" t="s">
        <v>474</v>
      </c>
      <c r="G151" s="1" t="s">
        <v>43</v>
      </c>
      <c r="H151" s="1" t="s">
        <v>24</v>
      </c>
      <c r="I151" s="2">
        <v>22.38</v>
      </c>
      <c r="J151" s="2">
        <v>5537572</v>
      </c>
      <c r="K151" s="2">
        <v>868162</v>
      </c>
      <c r="L151" s="2">
        <v>1000000</v>
      </c>
      <c r="M151" s="2">
        <v>0</v>
      </c>
      <c r="N151" s="2">
        <v>36606</v>
      </c>
      <c r="O151" s="2">
        <v>5442340</v>
      </c>
      <c r="P151" s="1" t="s">
        <v>25</v>
      </c>
      <c r="Q151" s="1" t="s">
        <v>35</v>
      </c>
      <c r="R151" s="1" t="s">
        <v>386</v>
      </c>
      <c r="S151" s="1">
        <v>1</v>
      </c>
      <c r="T151" s="1">
        <v>0</v>
      </c>
      <c r="U151" s="1">
        <f t="shared" si="16"/>
        <v>1</v>
      </c>
      <c r="V151" s="1">
        <v>0</v>
      </c>
      <c r="W151" s="1">
        <f t="shared" si="17"/>
        <v>1</v>
      </c>
      <c r="X151" s="5">
        <f t="shared" si="15"/>
        <v>100</v>
      </c>
    </row>
    <row r="152" spans="1:24" ht="15" customHeight="1">
      <c r="A152" s="6">
        <v>46054</v>
      </c>
      <c r="B152" s="1" t="s">
        <v>61</v>
      </c>
      <c r="C152" s="1" t="s">
        <v>367</v>
      </c>
      <c r="D152" s="1" t="s">
        <v>475</v>
      </c>
      <c r="E152" s="1" t="s">
        <v>476</v>
      </c>
      <c r="F152" s="1" t="s">
        <v>477</v>
      </c>
      <c r="G152" s="1" t="s">
        <v>43</v>
      </c>
      <c r="H152" s="1" t="s">
        <v>24</v>
      </c>
      <c r="I152" s="2">
        <v>10.19</v>
      </c>
      <c r="J152" s="2">
        <v>388892</v>
      </c>
      <c r="K152" s="2">
        <v>110272</v>
      </c>
      <c r="L152" s="2">
        <v>150000</v>
      </c>
      <c r="M152" s="2">
        <v>0</v>
      </c>
      <c r="N152" s="2">
        <v>4666</v>
      </c>
      <c r="O152" s="2">
        <v>353830</v>
      </c>
      <c r="P152" s="1" t="s">
        <v>25</v>
      </c>
      <c r="Q152" s="1" t="s">
        <v>35</v>
      </c>
      <c r="R152" s="1" t="s">
        <v>386</v>
      </c>
      <c r="S152" s="1">
        <v>1</v>
      </c>
      <c r="T152" s="1">
        <v>0</v>
      </c>
      <c r="U152" s="1">
        <f t="shared" si="16"/>
        <v>1</v>
      </c>
      <c r="V152" s="1">
        <v>0</v>
      </c>
      <c r="W152" s="1">
        <f t="shared" si="17"/>
        <v>1</v>
      </c>
      <c r="X152" s="5">
        <f t="shared" si="15"/>
        <v>100</v>
      </c>
    </row>
    <row r="153" spans="1:24" ht="15" customHeight="1">
      <c r="A153" s="6">
        <v>46054</v>
      </c>
      <c r="B153" s="1" t="s">
        <v>61</v>
      </c>
      <c r="C153" s="1" t="s">
        <v>367</v>
      </c>
      <c r="D153" s="1" t="s">
        <v>478</v>
      </c>
      <c r="E153" s="1" t="s">
        <v>479</v>
      </c>
      <c r="F153" s="1" t="s">
        <v>391</v>
      </c>
      <c r="G153" s="1" t="s">
        <v>43</v>
      </c>
      <c r="H153" s="1" t="s">
        <v>24</v>
      </c>
      <c r="I153" s="2">
        <v>14</v>
      </c>
      <c r="J153" s="2">
        <v>1432268</v>
      </c>
      <c r="K153" s="2">
        <v>603695</v>
      </c>
      <c r="L153" s="2">
        <v>600000</v>
      </c>
      <c r="M153" s="2">
        <v>0</v>
      </c>
      <c r="N153" s="2">
        <v>25469</v>
      </c>
      <c r="O153" s="2">
        <v>1461432</v>
      </c>
      <c r="P153" s="1" t="s">
        <v>25</v>
      </c>
      <c r="Q153" s="1" t="s">
        <v>35</v>
      </c>
      <c r="R153" s="1" t="s">
        <v>302</v>
      </c>
      <c r="S153" s="1">
        <v>1</v>
      </c>
      <c r="T153" s="1">
        <v>0</v>
      </c>
      <c r="U153" s="1">
        <f t="shared" si="16"/>
        <v>1</v>
      </c>
      <c r="V153" s="1">
        <v>0</v>
      </c>
      <c r="W153" s="1">
        <f t="shared" si="17"/>
        <v>1</v>
      </c>
      <c r="X153" s="5">
        <f t="shared" si="15"/>
        <v>100</v>
      </c>
    </row>
    <row r="154" spans="1:24" ht="15" customHeight="1">
      <c r="A154" s="6">
        <v>46054</v>
      </c>
      <c r="B154" s="1" t="s">
        <v>49</v>
      </c>
      <c r="C154" s="1" t="s">
        <v>480</v>
      </c>
      <c r="D154" s="1" t="s">
        <v>481</v>
      </c>
      <c r="E154" s="1" t="s">
        <v>482</v>
      </c>
      <c r="F154" s="1" t="s">
        <v>169</v>
      </c>
      <c r="G154" s="1" t="s">
        <v>483</v>
      </c>
      <c r="H154" s="1" t="s">
        <v>54</v>
      </c>
      <c r="I154" s="2">
        <v>5.5</v>
      </c>
      <c r="J154" s="2">
        <v>-9758</v>
      </c>
      <c r="K154" s="2">
        <v>0</v>
      </c>
      <c r="L154" s="2">
        <v>0</v>
      </c>
      <c r="M154" s="2">
        <v>0</v>
      </c>
      <c r="N154" s="2">
        <v>0</v>
      </c>
      <c r="O154" s="2">
        <v>-9758</v>
      </c>
      <c r="P154" s="1" t="s">
        <v>25</v>
      </c>
      <c r="Q154" s="1" t="s">
        <v>26</v>
      </c>
      <c r="R154" s="1" t="s">
        <v>66</v>
      </c>
      <c r="S154" s="1">
        <v>0</v>
      </c>
      <c r="T154" s="1">
        <v>0</v>
      </c>
      <c r="U154" s="1">
        <f t="shared" si="16"/>
        <v>0</v>
      </c>
      <c r="V154" s="1">
        <v>1</v>
      </c>
      <c r="W154" s="1">
        <f t="shared" si="17"/>
        <v>1</v>
      </c>
      <c r="X154" s="5" t="e">
        <f t="shared" si="15"/>
        <v>#DIV/0!</v>
      </c>
    </row>
    <row r="155" spans="1:24" ht="15" customHeight="1">
      <c r="A155" s="6">
        <v>46054</v>
      </c>
      <c r="B155" s="1" t="s">
        <v>49</v>
      </c>
      <c r="C155" s="1" t="s">
        <v>480</v>
      </c>
      <c r="D155" s="1" t="s">
        <v>484</v>
      </c>
      <c r="E155" s="1" t="s">
        <v>73</v>
      </c>
      <c r="F155" s="1" t="s">
        <v>485</v>
      </c>
      <c r="G155" s="1" t="s">
        <v>43</v>
      </c>
      <c r="H155" s="1" t="s">
        <v>54</v>
      </c>
      <c r="I155" s="2">
        <v>1</v>
      </c>
      <c r="J155" s="2">
        <v>-77000</v>
      </c>
      <c r="K155" s="2">
        <v>0</v>
      </c>
      <c r="L155" s="2">
        <v>0</v>
      </c>
      <c r="M155" s="2">
        <v>0</v>
      </c>
      <c r="N155" s="2">
        <v>0</v>
      </c>
      <c r="O155" s="2">
        <v>-77000</v>
      </c>
      <c r="P155" s="1" t="s">
        <v>25</v>
      </c>
      <c r="Q155" s="1" t="s">
        <v>26</v>
      </c>
      <c r="R155" s="1" t="s">
        <v>66</v>
      </c>
      <c r="S155" s="1">
        <v>0</v>
      </c>
      <c r="T155" s="1">
        <v>0</v>
      </c>
      <c r="U155" s="1">
        <f t="shared" si="16"/>
        <v>0</v>
      </c>
      <c r="V155" s="1">
        <v>1</v>
      </c>
      <c r="W155" s="1">
        <f t="shared" si="17"/>
        <v>1</v>
      </c>
      <c r="X155" s="5" t="e">
        <f t="shared" si="15"/>
        <v>#DIV/0!</v>
      </c>
    </row>
    <row r="156" spans="1:24" ht="15" customHeight="1">
      <c r="A156" s="6">
        <v>46054</v>
      </c>
      <c r="B156" s="1" t="s">
        <v>49</v>
      </c>
      <c r="C156" s="1" t="s">
        <v>480</v>
      </c>
      <c r="D156" s="1" t="s">
        <v>486</v>
      </c>
      <c r="E156" s="1" t="s">
        <v>73</v>
      </c>
      <c r="F156" s="1" t="s">
        <v>485</v>
      </c>
      <c r="G156" s="1" t="s">
        <v>43</v>
      </c>
      <c r="H156" s="1" t="s">
        <v>54</v>
      </c>
      <c r="I156" s="2">
        <v>1</v>
      </c>
      <c r="J156" s="2">
        <v>-26627</v>
      </c>
      <c r="K156" s="2">
        <v>0</v>
      </c>
      <c r="L156" s="2">
        <v>0</v>
      </c>
      <c r="M156" s="2">
        <v>0</v>
      </c>
      <c r="N156" s="2">
        <v>0</v>
      </c>
      <c r="O156" s="2">
        <v>-26627</v>
      </c>
      <c r="P156" s="1" t="s">
        <v>25</v>
      </c>
      <c r="Q156" s="1" t="s">
        <v>26</v>
      </c>
      <c r="R156" s="1" t="s">
        <v>66</v>
      </c>
      <c r="S156" s="1">
        <v>0</v>
      </c>
      <c r="T156" s="1">
        <v>0</v>
      </c>
      <c r="U156" s="1">
        <f t="shared" si="16"/>
        <v>0</v>
      </c>
      <c r="V156" s="1">
        <v>1</v>
      </c>
      <c r="W156" s="1">
        <f t="shared" si="17"/>
        <v>1</v>
      </c>
      <c r="X156" s="5" t="e">
        <f t="shared" si="15"/>
        <v>#DIV/0!</v>
      </c>
    </row>
    <row r="157" spans="1:24" ht="15" customHeight="1">
      <c r="A157" s="6">
        <v>46054</v>
      </c>
      <c r="B157" s="1" t="s">
        <v>49</v>
      </c>
      <c r="C157" s="1" t="s">
        <v>480</v>
      </c>
      <c r="D157" s="1" t="s">
        <v>487</v>
      </c>
      <c r="E157" s="1" t="s">
        <v>73</v>
      </c>
      <c r="F157" s="1" t="s">
        <v>485</v>
      </c>
      <c r="G157" s="1" t="s">
        <v>43</v>
      </c>
      <c r="H157" s="1" t="s">
        <v>54</v>
      </c>
      <c r="I157" s="2">
        <v>1</v>
      </c>
      <c r="J157" s="2">
        <v>-11356</v>
      </c>
      <c r="K157" s="2">
        <v>0</v>
      </c>
      <c r="L157" s="2">
        <v>0</v>
      </c>
      <c r="M157" s="2">
        <v>0</v>
      </c>
      <c r="N157" s="2">
        <v>0</v>
      </c>
      <c r="O157" s="2">
        <v>-11356</v>
      </c>
      <c r="P157" s="1" t="s">
        <v>25</v>
      </c>
      <c r="Q157" s="1" t="s">
        <v>26</v>
      </c>
      <c r="R157" s="1" t="s">
        <v>66</v>
      </c>
      <c r="S157" s="1">
        <v>0</v>
      </c>
      <c r="T157" s="1">
        <v>0</v>
      </c>
      <c r="U157" s="1">
        <f t="shared" si="16"/>
        <v>0</v>
      </c>
      <c r="V157" s="1">
        <v>1</v>
      </c>
      <c r="W157" s="1">
        <f t="shared" si="17"/>
        <v>1</v>
      </c>
      <c r="X157" s="5" t="e">
        <f t="shared" si="15"/>
        <v>#DIV/0!</v>
      </c>
    </row>
    <row r="158" spans="1:24" ht="15" customHeight="1">
      <c r="A158" s="6">
        <v>46054</v>
      </c>
      <c r="B158" s="1" t="s">
        <v>49</v>
      </c>
      <c r="C158" s="1" t="s">
        <v>480</v>
      </c>
      <c r="D158" s="1" t="s">
        <v>488</v>
      </c>
      <c r="E158" s="1" t="s">
        <v>489</v>
      </c>
      <c r="F158" s="1" t="s">
        <v>490</v>
      </c>
      <c r="G158" s="1" t="s">
        <v>34</v>
      </c>
      <c r="H158" s="1" t="s">
        <v>54</v>
      </c>
      <c r="I158" s="2">
        <v>13.36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1" t="s">
        <v>25</v>
      </c>
      <c r="Q158" s="1" t="s">
        <v>26</v>
      </c>
      <c r="R158" s="1" t="s">
        <v>66</v>
      </c>
      <c r="S158" s="1">
        <v>0</v>
      </c>
      <c r="T158" s="1">
        <v>0</v>
      </c>
      <c r="U158" s="1">
        <f t="shared" si="16"/>
        <v>0</v>
      </c>
      <c r="V158" s="1">
        <v>1</v>
      </c>
      <c r="W158" s="1">
        <f t="shared" si="17"/>
        <v>1</v>
      </c>
      <c r="X158" s="5" t="e">
        <f t="shared" si="15"/>
        <v>#DIV/0!</v>
      </c>
    </row>
    <row r="159" spans="1:24" ht="15" customHeight="1">
      <c r="A159" s="6">
        <v>46054</v>
      </c>
      <c r="B159" s="1" t="s">
        <v>49</v>
      </c>
      <c r="C159" s="1" t="s">
        <v>480</v>
      </c>
      <c r="D159" s="1" t="s">
        <v>493</v>
      </c>
      <c r="E159" s="1" t="s">
        <v>489</v>
      </c>
      <c r="F159" s="1" t="s">
        <v>494</v>
      </c>
      <c r="G159" s="1" t="s">
        <v>34</v>
      </c>
      <c r="H159" s="1" t="s">
        <v>54</v>
      </c>
      <c r="I159" s="2">
        <v>5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1" t="s">
        <v>25</v>
      </c>
      <c r="Q159" s="1" t="s">
        <v>26</v>
      </c>
      <c r="R159" s="1" t="s">
        <v>66</v>
      </c>
      <c r="S159" s="1">
        <v>1</v>
      </c>
      <c r="T159" s="1">
        <v>0</v>
      </c>
      <c r="U159" s="1">
        <f t="shared" si="16"/>
        <v>1</v>
      </c>
      <c r="V159" s="1">
        <v>0</v>
      </c>
      <c r="W159" s="1">
        <f t="shared" si="17"/>
        <v>1</v>
      </c>
      <c r="X159" s="5">
        <f t="shared" si="15"/>
        <v>100</v>
      </c>
    </row>
    <row r="160" spans="1:24" ht="15" customHeight="1">
      <c r="A160" s="6">
        <v>46054</v>
      </c>
      <c r="B160" s="1" t="s">
        <v>61</v>
      </c>
      <c r="C160" s="1" t="s">
        <v>480</v>
      </c>
      <c r="D160" s="1" t="s">
        <v>491</v>
      </c>
      <c r="E160" s="1" t="s">
        <v>489</v>
      </c>
      <c r="F160" s="1" t="s">
        <v>492</v>
      </c>
      <c r="G160" s="1" t="s">
        <v>43</v>
      </c>
      <c r="H160" s="1" t="s">
        <v>54</v>
      </c>
      <c r="I160" s="2">
        <v>6</v>
      </c>
      <c r="J160" s="2">
        <v>6052</v>
      </c>
      <c r="K160" s="2">
        <v>2844</v>
      </c>
      <c r="L160" s="2">
        <v>0</v>
      </c>
      <c r="M160" s="2">
        <v>0</v>
      </c>
      <c r="N160" s="2">
        <v>242</v>
      </c>
      <c r="O160" s="2">
        <v>9138</v>
      </c>
      <c r="P160" s="1" t="s">
        <v>25</v>
      </c>
      <c r="Q160" s="1" t="s">
        <v>35</v>
      </c>
      <c r="R160" s="1" t="s">
        <v>66</v>
      </c>
      <c r="S160" s="1">
        <v>0</v>
      </c>
      <c r="T160" s="1">
        <v>0</v>
      </c>
      <c r="U160" s="1">
        <f t="shared" si="16"/>
        <v>0</v>
      </c>
      <c r="V160" s="1">
        <v>1</v>
      </c>
      <c r="W160" s="1">
        <f t="shared" si="17"/>
        <v>1</v>
      </c>
      <c r="X160" s="5" t="e">
        <f t="shared" si="15"/>
        <v>#DIV/0!</v>
      </c>
    </row>
    <row r="161" spans="1:24" ht="15" customHeight="1">
      <c r="A161" s="6">
        <v>46054</v>
      </c>
      <c r="B161" s="1" t="s">
        <v>61</v>
      </c>
      <c r="C161" s="1" t="s">
        <v>480</v>
      </c>
      <c r="D161" s="1" t="s">
        <v>495</v>
      </c>
      <c r="E161" s="1" t="s">
        <v>83</v>
      </c>
      <c r="F161" s="1" t="s">
        <v>496</v>
      </c>
      <c r="G161" s="1" t="s">
        <v>43</v>
      </c>
      <c r="H161" s="1" t="s">
        <v>54</v>
      </c>
      <c r="I161" s="2">
        <v>5.6</v>
      </c>
      <c r="J161" s="2">
        <v>5658</v>
      </c>
      <c r="K161" s="2">
        <v>2659</v>
      </c>
      <c r="L161" s="2">
        <v>0</v>
      </c>
      <c r="M161" s="2">
        <v>0</v>
      </c>
      <c r="N161" s="2">
        <v>226</v>
      </c>
      <c r="O161" s="2">
        <v>8543</v>
      </c>
      <c r="P161" s="1" t="s">
        <v>25</v>
      </c>
      <c r="Q161" s="1" t="s">
        <v>35</v>
      </c>
      <c r="R161" s="1" t="s">
        <v>66</v>
      </c>
      <c r="S161" s="1">
        <v>1</v>
      </c>
      <c r="T161" s="1">
        <v>0</v>
      </c>
      <c r="U161" s="1">
        <f t="shared" si="16"/>
        <v>1</v>
      </c>
      <c r="V161" s="1">
        <v>0</v>
      </c>
      <c r="W161" s="1">
        <f t="shared" si="17"/>
        <v>1</v>
      </c>
      <c r="X161" s="5">
        <f t="shared" si="15"/>
        <v>100</v>
      </c>
    </row>
    <row r="162" spans="1:24" ht="15" customHeight="1">
      <c r="A162" s="6">
        <v>46054</v>
      </c>
      <c r="B162" s="1" t="s">
        <v>49</v>
      </c>
      <c r="C162" s="1" t="s">
        <v>497</v>
      </c>
      <c r="D162" s="1" t="s">
        <v>498</v>
      </c>
      <c r="E162" s="1" t="s">
        <v>499</v>
      </c>
      <c r="F162" s="1" t="s">
        <v>500</v>
      </c>
      <c r="G162" s="1" t="s">
        <v>501</v>
      </c>
      <c r="H162" s="1" t="s">
        <v>54</v>
      </c>
      <c r="I162" s="2">
        <v>25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1" t="s">
        <v>25</v>
      </c>
      <c r="Q162" s="1" t="s">
        <v>26</v>
      </c>
      <c r="R162" s="1" t="s">
        <v>66</v>
      </c>
      <c r="S162" s="1">
        <v>0</v>
      </c>
      <c r="T162" s="1">
        <v>0</v>
      </c>
      <c r="U162" s="1">
        <f t="shared" si="16"/>
        <v>0</v>
      </c>
      <c r="V162" s="1">
        <v>1</v>
      </c>
      <c r="W162" s="1">
        <f t="shared" si="17"/>
        <v>1</v>
      </c>
      <c r="X162" s="5" t="e">
        <f t="shared" si="15"/>
        <v>#DIV/0!</v>
      </c>
    </row>
    <row r="163" spans="1:24" ht="15" customHeight="1">
      <c r="A163" s="6">
        <v>46054</v>
      </c>
      <c r="B163" s="1" t="s">
        <v>49</v>
      </c>
      <c r="C163" s="1" t="s">
        <v>497</v>
      </c>
      <c r="D163" s="1" t="s">
        <v>502</v>
      </c>
      <c r="E163" s="1" t="s">
        <v>503</v>
      </c>
      <c r="F163" s="1" t="s">
        <v>504</v>
      </c>
      <c r="G163" s="1" t="s">
        <v>505</v>
      </c>
      <c r="H163" s="1" t="s">
        <v>54</v>
      </c>
      <c r="I163" s="2">
        <v>25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1" t="s">
        <v>25</v>
      </c>
      <c r="Q163" s="1" t="s">
        <v>26</v>
      </c>
      <c r="R163" s="1" t="s">
        <v>66</v>
      </c>
      <c r="S163" s="1">
        <v>0</v>
      </c>
      <c r="T163" s="1">
        <v>0</v>
      </c>
      <c r="U163" s="1">
        <f t="shared" si="16"/>
        <v>0</v>
      </c>
      <c r="V163" s="1">
        <v>1</v>
      </c>
      <c r="W163" s="1">
        <f t="shared" si="17"/>
        <v>1</v>
      </c>
      <c r="X163" s="5" t="e">
        <f t="shared" si="15"/>
        <v>#DIV/0!</v>
      </c>
    </row>
    <row r="164" spans="1:24" ht="15" customHeight="1">
      <c r="A164" s="6">
        <v>46054</v>
      </c>
      <c r="B164" s="1" t="s">
        <v>49</v>
      </c>
      <c r="C164" s="1" t="s">
        <v>497</v>
      </c>
      <c r="D164" s="1" t="s">
        <v>506</v>
      </c>
      <c r="E164" s="1" t="s">
        <v>203</v>
      </c>
      <c r="F164" s="1" t="s">
        <v>507</v>
      </c>
      <c r="G164" s="1" t="s">
        <v>43</v>
      </c>
      <c r="H164" s="1" t="s">
        <v>54</v>
      </c>
      <c r="I164" s="2">
        <v>25</v>
      </c>
      <c r="J164" s="2">
        <v>7501</v>
      </c>
      <c r="K164" s="2">
        <v>0</v>
      </c>
      <c r="L164" s="2">
        <v>0</v>
      </c>
      <c r="M164" s="2">
        <v>0</v>
      </c>
      <c r="N164" s="2">
        <v>0</v>
      </c>
      <c r="O164" s="2">
        <v>7501</v>
      </c>
      <c r="P164" s="1" t="s">
        <v>25</v>
      </c>
      <c r="Q164" s="1" t="s">
        <v>26</v>
      </c>
      <c r="R164" s="1" t="s">
        <v>66</v>
      </c>
      <c r="S164" s="1">
        <v>0</v>
      </c>
      <c r="T164" s="1">
        <v>0</v>
      </c>
      <c r="U164" s="1">
        <f t="shared" si="16"/>
        <v>0</v>
      </c>
      <c r="V164" s="1">
        <v>1</v>
      </c>
      <c r="W164" s="1">
        <f t="shared" si="17"/>
        <v>1</v>
      </c>
      <c r="X164" s="5" t="e">
        <f t="shared" si="15"/>
        <v>#DIV/0!</v>
      </c>
    </row>
    <row r="165" spans="1:24" ht="15" customHeight="1">
      <c r="A165" s="6">
        <v>46054</v>
      </c>
      <c r="B165" s="1" t="s">
        <v>49</v>
      </c>
      <c r="C165" s="1" t="s">
        <v>497</v>
      </c>
      <c r="D165" s="1" t="s">
        <v>508</v>
      </c>
      <c r="E165" s="1" t="s">
        <v>203</v>
      </c>
      <c r="F165" s="1" t="s">
        <v>507</v>
      </c>
      <c r="G165" s="1" t="s">
        <v>43</v>
      </c>
      <c r="H165" s="1" t="s">
        <v>54</v>
      </c>
      <c r="I165" s="2">
        <v>25</v>
      </c>
      <c r="J165" s="2">
        <v>7521</v>
      </c>
      <c r="K165" s="2">
        <v>0</v>
      </c>
      <c r="L165" s="2">
        <v>0</v>
      </c>
      <c r="M165" s="2">
        <v>0</v>
      </c>
      <c r="N165" s="2">
        <v>0</v>
      </c>
      <c r="O165" s="2">
        <v>7521</v>
      </c>
      <c r="P165" s="1" t="s">
        <v>25</v>
      </c>
      <c r="Q165" s="1" t="s">
        <v>26</v>
      </c>
      <c r="R165" s="1" t="s">
        <v>66</v>
      </c>
      <c r="S165" s="1">
        <v>0</v>
      </c>
      <c r="T165" s="1">
        <v>0</v>
      </c>
      <c r="U165" s="1">
        <f t="shared" si="16"/>
        <v>0</v>
      </c>
      <c r="V165" s="1">
        <v>1</v>
      </c>
      <c r="W165" s="1">
        <f t="shared" si="17"/>
        <v>1</v>
      </c>
      <c r="X165" s="5" t="e">
        <f t="shared" si="15"/>
        <v>#DIV/0!</v>
      </c>
    </row>
    <row r="166" spans="1:24" ht="15" customHeight="1">
      <c r="A166" s="6">
        <v>46054</v>
      </c>
      <c r="B166" s="1" t="s">
        <v>49</v>
      </c>
      <c r="C166" s="1" t="s">
        <v>497</v>
      </c>
      <c r="D166" s="1" t="s">
        <v>509</v>
      </c>
      <c r="E166" s="1" t="s">
        <v>318</v>
      </c>
      <c r="F166" s="1" t="s">
        <v>510</v>
      </c>
      <c r="G166" s="1" t="s">
        <v>169</v>
      </c>
      <c r="H166" s="1" t="s">
        <v>54</v>
      </c>
      <c r="I166" s="2">
        <v>30</v>
      </c>
      <c r="J166" s="2">
        <v>324973</v>
      </c>
      <c r="K166" s="2">
        <v>2659</v>
      </c>
      <c r="L166" s="2">
        <v>0</v>
      </c>
      <c r="M166" s="2">
        <v>0</v>
      </c>
      <c r="N166" s="2">
        <v>339</v>
      </c>
      <c r="O166" s="2">
        <v>327971</v>
      </c>
      <c r="P166" s="1" t="s">
        <v>25</v>
      </c>
      <c r="Q166" s="1" t="s">
        <v>35</v>
      </c>
      <c r="R166" s="1" t="s">
        <v>66</v>
      </c>
      <c r="S166" s="1">
        <v>0</v>
      </c>
      <c r="T166" s="1">
        <v>1</v>
      </c>
      <c r="U166" s="1">
        <f t="shared" si="16"/>
        <v>1</v>
      </c>
      <c r="V166" s="1">
        <v>0</v>
      </c>
      <c r="W166" s="1">
        <f t="shared" si="17"/>
        <v>1</v>
      </c>
      <c r="X166" s="5">
        <f t="shared" si="15"/>
        <v>0</v>
      </c>
    </row>
    <row r="167" spans="1:24" ht="15" customHeight="1">
      <c r="A167" s="6">
        <v>46054</v>
      </c>
      <c r="B167" s="1" t="s">
        <v>49</v>
      </c>
      <c r="C167" s="1" t="s">
        <v>497</v>
      </c>
      <c r="D167" s="1" t="s">
        <v>511</v>
      </c>
      <c r="E167" s="1" t="s">
        <v>318</v>
      </c>
      <c r="F167" s="1" t="s">
        <v>512</v>
      </c>
      <c r="G167" s="1" t="s">
        <v>513</v>
      </c>
      <c r="H167" s="1" t="s">
        <v>54</v>
      </c>
      <c r="I167" s="2">
        <v>22</v>
      </c>
      <c r="J167" s="2">
        <v>164433</v>
      </c>
      <c r="K167" s="2">
        <v>2659</v>
      </c>
      <c r="L167" s="2">
        <v>0</v>
      </c>
      <c r="M167" s="2">
        <v>0</v>
      </c>
      <c r="N167" s="2">
        <v>300</v>
      </c>
      <c r="O167" s="2">
        <v>167392</v>
      </c>
      <c r="P167" s="1" t="s">
        <v>25</v>
      </c>
      <c r="Q167" s="1" t="s">
        <v>35</v>
      </c>
      <c r="R167" s="1" t="s">
        <v>66</v>
      </c>
      <c r="S167" s="1">
        <v>0</v>
      </c>
      <c r="T167" s="1">
        <v>1</v>
      </c>
      <c r="U167" s="1">
        <f t="shared" si="16"/>
        <v>1</v>
      </c>
      <c r="V167" s="1">
        <v>0</v>
      </c>
      <c r="W167" s="1">
        <f t="shared" si="17"/>
        <v>1</v>
      </c>
      <c r="X167" s="5">
        <f t="shared" si="15"/>
        <v>0</v>
      </c>
    </row>
    <row r="168" spans="1:24" ht="15" customHeight="1">
      <c r="A168" s="6">
        <v>46054</v>
      </c>
      <c r="B168" s="1" t="s">
        <v>56</v>
      </c>
      <c r="C168" s="1" t="s">
        <v>497</v>
      </c>
      <c r="D168" s="1" t="s">
        <v>514</v>
      </c>
      <c r="E168" s="1" t="s">
        <v>515</v>
      </c>
      <c r="F168" s="1" t="s">
        <v>516</v>
      </c>
      <c r="G168" s="1" t="s">
        <v>517</v>
      </c>
      <c r="H168" s="1" t="s">
        <v>24</v>
      </c>
      <c r="I168" s="2">
        <v>4.96</v>
      </c>
      <c r="J168" s="2">
        <v>-9</v>
      </c>
      <c r="K168" s="2">
        <v>0</v>
      </c>
      <c r="L168" s="2">
        <v>0</v>
      </c>
      <c r="M168" s="2">
        <v>0</v>
      </c>
      <c r="N168" s="2">
        <v>0</v>
      </c>
      <c r="O168" s="2">
        <v>-9</v>
      </c>
      <c r="P168" s="1" t="s">
        <v>25</v>
      </c>
      <c r="Q168" s="1" t="s">
        <v>26</v>
      </c>
      <c r="R168" s="1" t="s">
        <v>27</v>
      </c>
      <c r="S168" s="1">
        <v>0</v>
      </c>
      <c r="T168" s="1">
        <v>0</v>
      </c>
      <c r="U168" s="1">
        <f t="shared" si="16"/>
        <v>0</v>
      </c>
      <c r="V168" s="1">
        <v>1</v>
      </c>
      <c r="W168" s="1">
        <f t="shared" si="17"/>
        <v>1</v>
      </c>
      <c r="X168" s="5" t="e">
        <f t="shared" si="15"/>
        <v>#DIV/0!</v>
      </c>
    </row>
    <row r="169" spans="1:24" ht="15" customHeight="1">
      <c r="A169" s="6">
        <v>46054</v>
      </c>
      <c r="B169" s="1" t="s">
        <v>56</v>
      </c>
      <c r="C169" s="1" t="s">
        <v>497</v>
      </c>
      <c r="D169" s="1" t="s">
        <v>518</v>
      </c>
      <c r="E169" s="1" t="s">
        <v>519</v>
      </c>
      <c r="F169" s="1" t="s">
        <v>205</v>
      </c>
      <c r="G169" s="1"/>
      <c r="H169" s="1" t="s">
        <v>24</v>
      </c>
      <c r="I169" s="2">
        <v>2</v>
      </c>
      <c r="J169" s="2">
        <v>-9</v>
      </c>
      <c r="K169" s="2">
        <v>0</v>
      </c>
      <c r="L169" s="2">
        <v>0</v>
      </c>
      <c r="M169" s="2">
        <v>0</v>
      </c>
      <c r="N169" s="2">
        <v>0</v>
      </c>
      <c r="O169" s="2">
        <v>-9</v>
      </c>
      <c r="P169" s="1" t="s">
        <v>25</v>
      </c>
      <c r="Q169" s="1" t="s">
        <v>26</v>
      </c>
      <c r="R169" s="1" t="s">
        <v>27</v>
      </c>
      <c r="S169" s="1">
        <v>0</v>
      </c>
      <c r="T169" s="1">
        <v>0</v>
      </c>
      <c r="U169" s="1">
        <f t="shared" si="16"/>
        <v>0</v>
      </c>
      <c r="V169" s="1">
        <v>1</v>
      </c>
      <c r="W169" s="1">
        <f t="shared" si="17"/>
        <v>1</v>
      </c>
      <c r="X169" s="5" t="e">
        <f t="shared" si="15"/>
        <v>#DIV/0!</v>
      </c>
    </row>
    <row r="170" spans="1:24" ht="15" customHeight="1">
      <c r="A170" s="6">
        <v>46054</v>
      </c>
      <c r="B170" s="1" t="s">
        <v>49</v>
      </c>
      <c r="C170" s="1" t="s">
        <v>520</v>
      </c>
      <c r="D170" s="1" t="s">
        <v>521</v>
      </c>
      <c r="E170" s="1" t="s">
        <v>73</v>
      </c>
      <c r="F170" s="1" t="s">
        <v>522</v>
      </c>
      <c r="G170" s="1" t="s">
        <v>107</v>
      </c>
      <c r="H170" s="1" t="s">
        <v>54</v>
      </c>
      <c r="I170" s="2">
        <v>15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1" t="s">
        <v>25</v>
      </c>
      <c r="Q170" s="1" t="s">
        <v>26</v>
      </c>
      <c r="R170" s="1" t="s">
        <v>44</v>
      </c>
      <c r="S170" s="1">
        <v>0</v>
      </c>
      <c r="T170" s="1">
        <v>0</v>
      </c>
      <c r="U170" s="1">
        <f t="shared" si="16"/>
        <v>0</v>
      </c>
      <c r="V170" s="1">
        <v>1</v>
      </c>
      <c r="W170" s="1">
        <f t="shared" si="17"/>
        <v>1</v>
      </c>
      <c r="X170" s="5" t="e">
        <f t="shared" si="15"/>
        <v>#DIV/0!</v>
      </c>
    </row>
    <row r="171" spans="1:24" ht="15" customHeight="1">
      <c r="A171" s="6">
        <v>46054</v>
      </c>
      <c r="B171" s="1" t="s">
        <v>49</v>
      </c>
      <c r="C171" s="1" t="s">
        <v>520</v>
      </c>
      <c r="D171" s="1" t="s">
        <v>523</v>
      </c>
      <c r="E171" s="1" t="s">
        <v>73</v>
      </c>
      <c r="F171" s="1" t="s">
        <v>524</v>
      </c>
      <c r="G171" s="1" t="s">
        <v>107</v>
      </c>
      <c r="H171" s="1" t="s">
        <v>54</v>
      </c>
      <c r="I171" s="2">
        <v>15</v>
      </c>
      <c r="J171" s="2">
        <v>40</v>
      </c>
      <c r="K171" s="2">
        <v>0</v>
      </c>
      <c r="L171" s="2">
        <v>0</v>
      </c>
      <c r="M171" s="2">
        <v>0</v>
      </c>
      <c r="N171" s="2">
        <v>0</v>
      </c>
      <c r="O171" s="2">
        <v>40</v>
      </c>
      <c r="P171" s="1" t="s">
        <v>25</v>
      </c>
      <c r="Q171" s="1" t="s">
        <v>26</v>
      </c>
      <c r="R171" s="1" t="s">
        <v>44</v>
      </c>
      <c r="S171" s="1">
        <v>0</v>
      </c>
      <c r="T171" s="1">
        <v>0</v>
      </c>
      <c r="U171" s="1">
        <f t="shared" si="16"/>
        <v>0</v>
      </c>
      <c r="V171" s="1">
        <v>1</v>
      </c>
      <c r="W171" s="1">
        <f t="shared" si="17"/>
        <v>1</v>
      </c>
      <c r="X171" s="5" t="e">
        <f t="shared" si="15"/>
        <v>#DIV/0!</v>
      </c>
    </row>
    <row r="172" spans="1:24" ht="15" customHeight="1">
      <c r="A172" s="6">
        <v>46054</v>
      </c>
      <c r="B172" s="1" t="s">
        <v>61</v>
      </c>
      <c r="C172" s="1" t="s">
        <v>520</v>
      </c>
      <c r="D172" s="1" t="s">
        <v>525</v>
      </c>
      <c r="E172" s="1" t="s">
        <v>526</v>
      </c>
      <c r="F172" s="1" t="s">
        <v>273</v>
      </c>
      <c r="G172" s="1"/>
      <c r="H172" s="1" t="s">
        <v>24</v>
      </c>
      <c r="I172" s="2">
        <v>11.19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1" t="s">
        <v>25</v>
      </c>
      <c r="Q172" s="1" t="s">
        <v>26</v>
      </c>
      <c r="R172" s="1" t="s">
        <v>527</v>
      </c>
      <c r="S172" s="1">
        <v>0</v>
      </c>
      <c r="T172" s="1">
        <v>0</v>
      </c>
      <c r="U172" s="1">
        <f t="shared" si="16"/>
        <v>0</v>
      </c>
      <c r="V172" s="1">
        <v>1</v>
      </c>
      <c r="W172" s="1">
        <f t="shared" si="17"/>
        <v>1</v>
      </c>
      <c r="X172" s="5" t="e">
        <f t="shared" si="15"/>
        <v>#DIV/0!</v>
      </c>
    </row>
    <row r="173" spans="1:24" ht="15" customHeight="1">
      <c r="A173" s="6">
        <v>46054</v>
      </c>
      <c r="B173" s="1" t="s">
        <v>18</v>
      </c>
      <c r="C173" s="1" t="s">
        <v>528</v>
      </c>
      <c r="D173" s="1" t="s">
        <v>529</v>
      </c>
      <c r="E173" s="1" t="s">
        <v>530</v>
      </c>
      <c r="F173" s="1" t="s">
        <v>531</v>
      </c>
      <c r="G173" s="1" t="s">
        <v>43</v>
      </c>
      <c r="H173" s="1" t="s">
        <v>24</v>
      </c>
      <c r="I173" s="2">
        <v>3</v>
      </c>
      <c r="J173" s="2">
        <v>56064</v>
      </c>
      <c r="K173" s="2">
        <v>1180</v>
      </c>
      <c r="L173" s="2">
        <v>0</v>
      </c>
      <c r="M173" s="2">
        <v>0</v>
      </c>
      <c r="N173" s="2">
        <v>142</v>
      </c>
      <c r="O173" s="2">
        <v>57386</v>
      </c>
      <c r="P173" s="1" t="s">
        <v>25</v>
      </c>
      <c r="Q173" s="1" t="s">
        <v>35</v>
      </c>
      <c r="R173" s="1" t="s">
        <v>66</v>
      </c>
      <c r="S173" s="1">
        <v>1</v>
      </c>
      <c r="T173" s="1">
        <v>0</v>
      </c>
      <c r="U173" s="1">
        <f t="shared" si="16"/>
        <v>1</v>
      </c>
      <c r="V173" s="1">
        <v>0</v>
      </c>
      <c r="W173" s="1">
        <f t="shared" si="17"/>
        <v>1</v>
      </c>
      <c r="X173" s="5">
        <f t="shared" si="15"/>
        <v>100</v>
      </c>
    </row>
    <row r="174" spans="1:24" ht="15" customHeight="1">
      <c r="A174" s="6">
        <v>46054</v>
      </c>
      <c r="B174" s="1" t="s">
        <v>18</v>
      </c>
      <c r="C174" s="1" t="s">
        <v>528</v>
      </c>
      <c r="D174" s="1" t="s">
        <v>532</v>
      </c>
      <c r="E174" s="1" t="s">
        <v>530</v>
      </c>
      <c r="F174" s="1" t="s">
        <v>533</v>
      </c>
      <c r="G174" s="1" t="s">
        <v>43</v>
      </c>
      <c r="H174" s="1" t="s">
        <v>24</v>
      </c>
      <c r="I174" s="2">
        <v>2.0499999999999998</v>
      </c>
      <c r="J174" s="2">
        <v>458329</v>
      </c>
      <c r="K174" s="2">
        <v>1180</v>
      </c>
      <c r="L174" s="2">
        <v>0</v>
      </c>
      <c r="M174" s="2">
        <v>0</v>
      </c>
      <c r="N174" s="2">
        <v>23406</v>
      </c>
      <c r="O174" s="2">
        <v>482915</v>
      </c>
      <c r="P174" s="1" t="s">
        <v>25</v>
      </c>
      <c r="Q174" s="1" t="s">
        <v>35</v>
      </c>
      <c r="R174" s="1" t="s">
        <v>66</v>
      </c>
      <c r="S174" s="1">
        <v>1</v>
      </c>
      <c r="T174" s="1">
        <v>0</v>
      </c>
      <c r="U174" s="1">
        <f t="shared" si="16"/>
        <v>1</v>
      </c>
      <c r="V174" s="1">
        <v>0</v>
      </c>
      <c r="W174" s="1">
        <f t="shared" si="17"/>
        <v>1</v>
      </c>
      <c r="X174" s="5">
        <f t="shared" si="15"/>
        <v>100</v>
      </c>
    </row>
    <row r="175" spans="1:24" ht="15" customHeight="1">
      <c r="A175" s="6">
        <v>46054</v>
      </c>
      <c r="B175" s="1" t="s">
        <v>18</v>
      </c>
      <c r="C175" s="1" t="s">
        <v>528</v>
      </c>
      <c r="D175" s="1" t="s">
        <v>534</v>
      </c>
      <c r="E175" s="1" t="s">
        <v>535</v>
      </c>
      <c r="F175" s="1" t="s">
        <v>536</v>
      </c>
      <c r="G175" s="1" t="s">
        <v>43</v>
      </c>
      <c r="H175" s="1" t="s">
        <v>24</v>
      </c>
      <c r="I175" s="2">
        <v>2.5</v>
      </c>
      <c r="J175" s="2">
        <v>73500</v>
      </c>
      <c r="K175" s="2">
        <v>1180</v>
      </c>
      <c r="L175" s="2">
        <v>0</v>
      </c>
      <c r="M175" s="2">
        <v>0</v>
      </c>
      <c r="N175" s="2">
        <v>142</v>
      </c>
      <c r="O175" s="2">
        <v>74822</v>
      </c>
      <c r="P175" s="1" t="s">
        <v>25</v>
      </c>
      <c r="Q175" s="1" t="s">
        <v>35</v>
      </c>
      <c r="R175" s="1" t="s">
        <v>66</v>
      </c>
      <c r="S175" s="1">
        <v>0</v>
      </c>
      <c r="T175" s="1">
        <v>1</v>
      </c>
      <c r="U175" s="1">
        <f t="shared" si="16"/>
        <v>1</v>
      </c>
      <c r="V175" s="1">
        <v>0</v>
      </c>
      <c r="W175" s="1">
        <f t="shared" si="17"/>
        <v>1</v>
      </c>
      <c r="X175" s="5">
        <f t="shared" si="15"/>
        <v>0</v>
      </c>
    </row>
    <row r="176" spans="1:24" ht="15" customHeight="1">
      <c r="A176" s="6">
        <v>46054</v>
      </c>
      <c r="B176" s="1" t="s">
        <v>18</v>
      </c>
      <c r="C176" s="1" t="s">
        <v>528</v>
      </c>
      <c r="D176" s="1" t="s">
        <v>537</v>
      </c>
      <c r="E176" s="1" t="s">
        <v>530</v>
      </c>
      <c r="F176" s="1" t="s">
        <v>538</v>
      </c>
      <c r="G176" s="1" t="s">
        <v>43</v>
      </c>
      <c r="H176" s="1" t="s">
        <v>24</v>
      </c>
      <c r="I176" s="2">
        <v>2.0499999999999998</v>
      </c>
      <c r="J176" s="2">
        <v>68567</v>
      </c>
      <c r="K176" s="2">
        <v>1180</v>
      </c>
      <c r="L176" s="2">
        <v>0</v>
      </c>
      <c r="M176" s="2">
        <v>0</v>
      </c>
      <c r="N176" s="2">
        <v>142</v>
      </c>
      <c r="O176" s="2">
        <v>69889</v>
      </c>
      <c r="P176" s="1" t="s">
        <v>25</v>
      </c>
      <c r="Q176" s="1" t="s">
        <v>35</v>
      </c>
      <c r="R176" s="1" t="s">
        <v>66</v>
      </c>
      <c r="S176" s="1">
        <v>0</v>
      </c>
      <c r="T176" s="1">
        <v>1</v>
      </c>
      <c r="U176" s="1">
        <f t="shared" si="16"/>
        <v>1</v>
      </c>
      <c r="V176" s="1">
        <v>0</v>
      </c>
      <c r="W176" s="1">
        <f t="shared" si="17"/>
        <v>1</v>
      </c>
      <c r="X176" s="5">
        <f t="shared" si="15"/>
        <v>0</v>
      </c>
    </row>
    <row r="177" spans="1:24" ht="15" customHeight="1">
      <c r="A177" s="6">
        <v>46054</v>
      </c>
      <c r="B177" s="1" t="s">
        <v>18</v>
      </c>
      <c r="C177" s="1" t="s">
        <v>528</v>
      </c>
      <c r="D177" s="1" t="s">
        <v>539</v>
      </c>
      <c r="E177" s="1" t="s">
        <v>540</v>
      </c>
      <c r="F177" s="1" t="s">
        <v>541</v>
      </c>
      <c r="G177" s="1" t="s">
        <v>542</v>
      </c>
      <c r="H177" s="1" t="s">
        <v>24</v>
      </c>
      <c r="I177" s="2">
        <v>1</v>
      </c>
      <c r="J177" s="2">
        <v>246052</v>
      </c>
      <c r="K177" s="2">
        <v>1180</v>
      </c>
      <c r="L177" s="2">
        <v>0</v>
      </c>
      <c r="M177" s="2">
        <v>0</v>
      </c>
      <c r="N177" s="2">
        <v>10906</v>
      </c>
      <c r="O177" s="2">
        <v>258138</v>
      </c>
      <c r="P177" s="1" t="s">
        <v>25</v>
      </c>
      <c r="Q177" s="1" t="s">
        <v>35</v>
      </c>
      <c r="R177" s="1" t="s">
        <v>66</v>
      </c>
      <c r="S177" s="1">
        <v>0</v>
      </c>
      <c r="T177" s="1">
        <v>1</v>
      </c>
      <c r="U177" s="1">
        <f t="shared" si="16"/>
        <v>1</v>
      </c>
      <c r="V177" s="1">
        <v>0</v>
      </c>
      <c r="W177" s="1">
        <f t="shared" si="17"/>
        <v>1</v>
      </c>
      <c r="X177" s="5">
        <f t="shared" si="15"/>
        <v>0</v>
      </c>
    </row>
    <row r="178" spans="1:24" ht="15" customHeight="1">
      <c r="A178" s="6">
        <v>46054</v>
      </c>
      <c r="B178" s="1" t="s">
        <v>18</v>
      </c>
      <c r="C178" s="1" t="s">
        <v>528</v>
      </c>
      <c r="D178" s="1" t="s">
        <v>543</v>
      </c>
      <c r="E178" s="1" t="s">
        <v>530</v>
      </c>
      <c r="F178" s="1" t="s">
        <v>43</v>
      </c>
      <c r="G178" s="1" t="s">
        <v>43</v>
      </c>
      <c r="H178" s="1" t="s">
        <v>24</v>
      </c>
      <c r="I178" s="2">
        <v>3</v>
      </c>
      <c r="J178" s="2">
        <v>78598</v>
      </c>
      <c r="K178" s="2">
        <v>1180</v>
      </c>
      <c r="L178" s="2">
        <v>0</v>
      </c>
      <c r="M178" s="2">
        <v>0</v>
      </c>
      <c r="N178" s="2">
        <v>142</v>
      </c>
      <c r="O178" s="2">
        <v>79920</v>
      </c>
      <c r="P178" s="1" t="s">
        <v>25</v>
      </c>
      <c r="Q178" s="1" t="s">
        <v>35</v>
      </c>
      <c r="R178" s="1" t="s">
        <v>66</v>
      </c>
      <c r="S178" s="1">
        <v>0</v>
      </c>
      <c r="T178" s="1">
        <v>1</v>
      </c>
      <c r="U178" s="1">
        <f t="shared" si="16"/>
        <v>1</v>
      </c>
      <c r="V178" s="1">
        <v>0</v>
      </c>
      <c r="W178" s="1">
        <f t="shared" si="17"/>
        <v>1</v>
      </c>
      <c r="X178" s="5">
        <f t="shared" si="15"/>
        <v>0</v>
      </c>
    </row>
    <row r="179" spans="1:24" ht="15" customHeight="1">
      <c r="A179" s="6">
        <v>46054</v>
      </c>
      <c r="B179" s="1" t="s">
        <v>18</v>
      </c>
      <c r="C179" s="1" t="s">
        <v>528</v>
      </c>
      <c r="D179" s="1" t="s">
        <v>544</v>
      </c>
      <c r="E179" s="1" t="s">
        <v>530</v>
      </c>
      <c r="F179" s="1" t="s">
        <v>1418</v>
      </c>
      <c r="G179" s="1" t="s">
        <v>43</v>
      </c>
      <c r="H179" s="1" t="s">
        <v>24</v>
      </c>
      <c r="I179" s="2">
        <v>2</v>
      </c>
      <c r="J179" s="2">
        <v>66302</v>
      </c>
      <c r="K179" s="2">
        <v>1180</v>
      </c>
      <c r="L179" s="2">
        <v>0</v>
      </c>
      <c r="M179" s="2">
        <v>0</v>
      </c>
      <c r="N179" s="2">
        <v>142</v>
      </c>
      <c r="O179" s="2">
        <v>67624</v>
      </c>
      <c r="P179" s="1" t="s">
        <v>25</v>
      </c>
      <c r="Q179" s="1" t="s">
        <v>35</v>
      </c>
      <c r="R179" s="1" t="s">
        <v>66</v>
      </c>
      <c r="S179" s="1">
        <v>0</v>
      </c>
      <c r="T179" s="1">
        <v>1</v>
      </c>
      <c r="U179" s="1">
        <f t="shared" si="16"/>
        <v>1</v>
      </c>
      <c r="V179" s="1">
        <v>0</v>
      </c>
      <c r="W179" s="1">
        <f t="shared" si="17"/>
        <v>1</v>
      </c>
      <c r="X179" s="5">
        <f t="shared" si="15"/>
        <v>0</v>
      </c>
    </row>
    <row r="180" spans="1:24" ht="15" customHeight="1">
      <c r="A180" s="6">
        <v>46054</v>
      </c>
      <c r="B180" s="1" t="s">
        <v>18</v>
      </c>
      <c r="C180" s="1" t="s">
        <v>528</v>
      </c>
      <c r="D180" s="1" t="s">
        <v>545</v>
      </c>
      <c r="E180" s="1" t="s">
        <v>103</v>
      </c>
      <c r="F180" s="1" t="s">
        <v>546</v>
      </c>
      <c r="G180" s="1" t="s">
        <v>547</v>
      </c>
      <c r="H180" s="1" t="s">
        <v>24</v>
      </c>
      <c r="I180" s="2">
        <v>3</v>
      </c>
      <c r="J180" s="2">
        <v>72009</v>
      </c>
      <c r="K180" s="2">
        <v>1180</v>
      </c>
      <c r="L180" s="2">
        <v>0</v>
      </c>
      <c r="M180" s="2">
        <v>0</v>
      </c>
      <c r="N180" s="2">
        <v>142</v>
      </c>
      <c r="O180" s="2">
        <v>73331</v>
      </c>
      <c r="P180" s="1" t="s">
        <v>25</v>
      </c>
      <c r="Q180" s="1" t="s">
        <v>35</v>
      </c>
      <c r="R180" s="1" t="s">
        <v>66</v>
      </c>
      <c r="S180" s="1">
        <v>0</v>
      </c>
      <c r="T180" s="1">
        <v>1</v>
      </c>
      <c r="U180" s="1">
        <f t="shared" si="16"/>
        <v>1</v>
      </c>
      <c r="V180" s="1">
        <v>0</v>
      </c>
      <c r="W180" s="1">
        <f t="shared" si="17"/>
        <v>1</v>
      </c>
      <c r="X180" s="5">
        <f t="shared" si="15"/>
        <v>0</v>
      </c>
    </row>
    <row r="181" spans="1:24" ht="15" customHeight="1">
      <c r="A181" s="6">
        <v>46054</v>
      </c>
      <c r="B181" s="1" t="s">
        <v>18</v>
      </c>
      <c r="C181" s="1" t="s">
        <v>528</v>
      </c>
      <c r="D181" s="1" t="s">
        <v>548</v>
      </c>
      <c r="E181" s="1" t="s">
        <v>103</v>
      </c>
      <c r="F181" s="1" t="s">
        <v>549</v>
      </c>
      <c r="G181" s="1" t="s">
        <v>550</v>
      </c>
      <c r="H181" s="1" t="s">
        <v>24</v>
      </c>
      <c r="I181" s="2">
        <v>1.5</v>
      </c>
      <c r="J181" s="2">
        <v>62687</v>
      </c>
      <c r="K181" s="2">
        <v>1180</v>
      </c>
      <c r="L181" s="2">
        <v>0</v>
      </c>
      <c r="M181" s="2">
        <v>0</v>
      </c>
      <c r="N181" s="2">
        <v>100</v>
      </c>
      <c r="O181" s="2">
        <v>63967</v>
      </c>
      <c r="P181" s="1" t="s">
        <v>25</v>
      </c>
      <c r="Q181" s="1" t="s">
        <v>35</v>
      </c>
      <c r="R181" s="1" t="s">
        <v>66</v>
      </c>
      <c r="S181" s="1">
        <v>0</v>
      </c>
      <c r="T181" s="1">
        <v>1</v>
      </c>
      <c r="U181" s="1">
        <f t="shared" si="16"/>
        <v>1</v>
      </c>
      <c r="V181" s="1">
        <v>0</v>
      </c>
      <c r="W181" s="1">
        <f t="shared" si="17"/>
        <v>1</v>
      </c>
      <c r="X181" s="5">
        <f t="shared" si="15"/>
        <v>0</v>
      </c>
    </row>
    <row r="182" spans="1:24" ht="15" customHeight="1">
      <c r="A182" s="6">
        <v>46054</v>
      </c>
      <c r="B182" s="1" t="s">
        <v>18</v>
      </c>
      <c r="C182" s="1" t="s">
        <v>528</v>
      </c>
      <c r="D182" s="1" t="s">
        <v>551</v>
      </c>
      <c r="E182" s="1" t="s">
        <v>103</v>
      </c>
      <c r="F182" s="1" t="s">
        <v>552</v>
      </c>
      <c r="G182" s="1" t="s">
        <v>553</v>
      </c>
      <c r="H182" s="1" t="s">
        <v>24</v>
      </c>
      <c r="I182" s="2">
        <v>1.5</v>
      </c>
      <c r="J182" s="2">
        <v>405696</v>
      </c>
      <c r="K182" s="2">
        <v>1180</v>
      </c>
      <c r="L182" s="2">
        <v>0</v>
      </c>
      <c r="M182" s="2">
        <v>0</v>
      </c>
      <c r="N182" s="2">
        <v>142</v>
      </c>
      <c r="O182" s="2">
        <v>407018</v>
      </c>
      <c r="P182" s="1" t="s">
        <v>25</v>
      </c>
      <c r="Q182" s="1" t="s">
        <v>35</v>
      </c>
      <c r="R182" s="1" t="s">
        <v>66</v>
      </c>
      <c r="S182" s="1">
        <v>0</v>
      </c>
      <c r="T182" s="1">
        <v>1</v>
      </c>
      <c r="U182" s="1">
        <f t="shared" si="16"/>
        <v>1</v>
      </c>
      <c r="V182" s="1">
        <v>0</v>
      </c>
      <c r="W182" s="1">
        <f t="shared" si="17"/>
        <v>1</v>
      </c>
      <c r="X182" s="5">
        <f t="shared" si="15"/>
        <v>0</v>
      </c>
    </row>
    <row r="183" spans="1:24" ht="15" customHeight="1">
      <c r="A183" s="6">
        <v>46054</v>
      </c>
      <c r="B183" s="1" t="s">
        <v>18</v>
      </c>
      <c r="C183" s="1" t="s">
        <v>528</v>
      </c>
      <c r="D183" s="1" t="s">
        <v>1394</v>
      </c>
      <c r="E183" s="1" t="s">
        <v>1395</v>
      </c>
      <c r="F183" s="1" t="s">
        <v>1396</v>
      </c>
      <c r="G183" s="1" t="s">
        <v>310</v>
      </c>
      <c r="H183" s="1" t="s">
        <v>24</v>
      </c>
      <c r="I183" s="2">
        <v>2</v>
      </c>
      <c r="J183" s="2">
        <v>16761</v>
      </c>
      <c r="K183" s="2">
        <v>1180</v>
      </c>
      <c r="L183" s="2">
        <v>0</v>
      </c>
      <c r="M183" s="2">
        <v>0</v>
      </c>
      <c r="N183" s="2">
        <v>100</v>
      </c>
      <c r="O183" s="2">
        <v>18041</v>
      </c>
      <c r="P183" s="1" t="s">
        <v>25</v>
      </c>
      <c r="Q183" s="1" t="s">
        <v>35</v>
      </c>
      <c r="R183" s="1" t="s">
        <v>311</v>
      </c>
      <c r="S183" s="1">
        <v>0</v>
      </c>
      <c r="T183" s="1">
        <v>1</v>
      </c>
      <c r="U183" s="1">
        <f t="shared" si="16"/>
        <v>1</v>
      </c>
      <c r="V183" s="1">
        <v>0</v>
      </c>
      <c r="W183" s="1">
        <f t="shared" si="17"/>
        <v>1</v>
      </c>
      <c r="X183" s="5">
        <f t="shared" si="15"/>
        <v>0</v>
      </c>
    </row>
    <row r="184" spans="1:24" ht="15" customHeight="1">
      <c r="A184" s="6">
        <v>46054</v>
      </c>
      <c r="B184" s="1" t="s">
        <v>18</v>
      </c>
      <c r="C184" s="1" t="s">
        <v>528</v>
      </c>
      <c r="D184" s="1" t="s">
        <v>554</v>
      </c>
      <c r="E184" s="1" t="s">
        <v>530</v>
      </c>
      <c r="F184" s="1" t="s">
        <v>555</v>
      </c>
      <c r="G184" s="1" t="s">
        <v>43</v>
      </c>
      <c r="H184" s="1" t="s">
        <v>24</v>
      </c>
      <c r="I184" s="2">
        <v>3</v>
      </c>
      <c r="J184" s="2">
        <v>61797</v>
      </c>
      <c r="K184" s="2">
        <v>1180</v>
      </c>
      <c r="L184" s="2">
        <v>0</v>
      </c>
      <c r="M184" s="2">
        <v>0</v>
      </c>
      <c r="N184" s="2">
        <v>100</v>
      </c>
      <c r="O184" s="2">
        <v>63077</v>
      </c>
      <c r="P184" s="1" t="s">
        <v>25</v>
      </c>
      <c r="Q184" s="1" t="s">
        <v>35</v>
      </c>
      <c r="R184" s="1" t="s">
        <v>66</v>
      </c>
      <c r="S184" s="1">
        <v>0</v>
      </c>
      <c r="T184" s="1">
        <v>1</v>
      </c>
      <c r="U184" s="1">
        <f t="shared" si="16"/>
        <v>1</v>
      </c>
      <c r="V184" s="1">
        <v>0</v>
      </c>
      <c r="W184" s="1">
        <f t="shared" si="17"/>
        <v>1</v>
      </c>
      <c r="X184" s="5">
        <f t="shared" si="15"/>
        <v>0</v>
      </c>
    </row>
    <row r="185" spans="1:24" ht="15" customHeight="1">
      <c r="A185" s="6">
        <v>46054</v>
      </c>
      <c r="B185" s="1" t="s">
        <v>18</v>
      </c>
      <c r="C185" s="1" t="s">
        <v>528</v>
      </c>
      <c r="D185" s="1" t="s">
        <v>556</v>
      </c>
      <c r="E185" s="1" t="s">
        <v>530</v>
      </c>
      <c r="F185" s="1" t="s">
        <v>557</v>
      </c>
      <c r="G185" s="1" t="s">
        <v>43</v>
      </c>
      <c r="H185" s="1" t="s">
        <v>24</v>
      </c>
      <c r="I185" s="2">
        <v>2</v>
      </c>
      <c r="J185" s="2">
        <v>68338</v>
      </c>
      <c r="K185" s="2">
        <v>1180</v>
      </c>
      <c r="L185" s="2">
        <v>0</v>
      </c>
      <c r="M185" s="2">
        <v>0</v>
      </c>
      <c r="N185" s="2">
        <v>142</v>
      </c>
      <c r="O185" s="2">
        <v>69660</v>
      </c>
      <c r="P185" s="1" t="s">
        <v>25</v>
      </c>
      <c r="Q185" s="1" t="s">
        <v>35</v>
      </c>
      <c r="R185" s="1" t="s">
        <v>66</v>
      </c>
      <c r="S185" s="1">
        <v>0</v>
      </c>
      <c r="T185" s="1">
        <v>1</v>
      </c>
      <c r="U185" s="1">
        <f t="shared" si="16"/>
        <v>1</v>
      </c>
      <c r="V185" s="1">
        <v>0</v>
      </c>
      <c r="W185" s="1">
        <f t="shared" si="17"/>
        <v>1</v>
      </c>
      <c r="X185" s="5">
        <f t="shared" si="15"/>
        <v>0</v>
      </c>
    </row>
    <row r="186" spans="1:24" ht="15" customHeight="1">
      <c r="A186" s="6">
        <v>46054</v>
      </c>
      <c r="B186" s="1" t="s">
        <v>18</v>
      </c>
      <c r="C186" s="1" t="s">
        <v>528</v>
      </c>
      <c r="D186" s="1" t="s">
        <v>558</v>
      </c>
      <c r="E186" s="1" t="s">
        <v>559</v>
      </c>
      <c r="F186" s="1" t="s">
        <v>560</v>
      </c>
      <c r="G186" s="1" t="s">
        <v>43</v>
      </c>
      <c r="H186" s="1" t="s">
        <v>24</v>
      </c>
      <c r="I186" s="2">
        <v>2</v>
      </c>
      <c r="J186" s="2">
        <v>70447</v>
      </c>
      <c r="K186" s="2">
        <v>1180</v>
      </c>
      <c r="L186" s="2">
        <v>0</v>
      </c>
      <c r="M186" s="2">
        <v>0</v>
      </c>
      <c r="N186" s="2">
        <v>142</v>
      </c>
      <c r="O186" s="2">
        <v>71769</v>
      </c>
      <c r="P186" s="1" t="s">
        <v>25</v>
      </c>
      <c r="Q186" s="1" t="s">
        <v>35</v>
      </c>
      <c r="R186" s="1" t="s">
        <v>66</v>
      </c>
      <c r="S186" s="1">
        <v>0</v>
      </c>
      <c r="T186" s="1">
        <v>1</v>
      </c>
      <c r="U186" s="1">
        <f t="shared" si="16"/>
        <v>1</v>
      </c>
      <c r="V186" s="1">
        <v>0</v>
      </c>
      <c r="W186" s="1">
        <f t="shared" si="17"/>
        <v>1</v>
      </c>
      <c r="X186" s="5">
        <f t="shared" si="15"/>
        <v>0</v>
      </c>
    </row>
    <row r="187" spans="1:24" ht="15" customHeight="1">
      <c r="A187" s="6">
        <v>46054</v>
      </c>
      <c r="B187" s="1" t="s">
        <v>18</v>
      </c>
      <c r="C187" s="1" t="s">
        <v>528</v>
      </c>
      <c r="D187" s="1" t="s">
        <v>561</v>
      </c>
      <c r="E187" s="1" t="s">
        <v>540</v>
      </c>
      <c r="F187" s="1" t="s">
        <v>562</v>
      </c>
      <c r="G187" s="1" t="s">
        <v>43</v>
      </c>
      <c r="H187" s="1" t="s">
        <v>24</v>
      </c>
      <c r="I187" s="2">
        <v>2</v>
      </c>
      <c r="J187" s="2">
        <v>59096</v>
      </c>
      <c r="K187" s="2">
        <v>1180</v>
      </c>
      <c r="L187" s="2">
        <v>0</v>
      </c>
      <c r="M187" s="2">
        <v>0</v>
      </c>
      <c r="N187" s="2">
        <v>100</v>
      </c>
      <c r="O187" s="2">
        <v>60376</v>
      </c>
      <c r="P187" s="1" t="s">
        <v>25</v>
      </c>
      <c r="Q187" s="1" t="s">
        <v>35</v>
      </c>
      <c r="R187" s="1" t="s">
        <v>66</v>
      </c>
      <c r="S187" s="1">
        <v>0</v>
      </c>
      <c r="T187" s="1">
        <v>1</v>
      </c>
      <c r="U187" s="1">
        <f t="shared" si="16"/>
        <v>1</v>
      </c>
      <c r="V187" s="1">
        <v>0</v>
      </c>
      <c r="W187" s="1">
        <f t="shared" si="17"/>
        <v>1</v>
      </c>
      <c r="X187" s="5">
        <f t="shared" si="15"/>
        <v>0</v>
      </c>
    </row>
    <row r="188" spans="1:24" ht="15" customHeight="1">
      <c r="A188" s="6">
        <v>46054</v>
      </c>
      <c r="B188" s="1" t="s">
        <v>18</v>
      </c>
      <c r="C188" s="1" t="s">
        <v>528</v>
      </c>
      <c r="D188" s="1" t="s">
        <v>563</v>
      </c>
      <c r="E188" s="1" t="s">
        <v>530</v>
      </c>
      <c r="F188" s="1" t="s">
        <v>564</v>
      </c>
      <c r="G188" s="1" t="s">
        <v>565</v>
      </c>
      <c r="H188" s="1" t="s">
        <v>24</v>
      </c>
      <c r="I188" s="2">
        <v>3</v>
      </c>
      <c r="J188" s="2">
        <v>78227</v>
      </c>
      <c r="K188" s="2">
        <v>1180</v>
      </c>
      <c r="L188" s="2">
        <v>0</v>
      </c>
      <c r="M188" s="2">
        <v>0</v>
      </c>
      <c r="N188" s="2">
        <v>142</v>
      </c>
      <c r="O188" s="2">
        <v>79549</v>
      </c>
      <c r="P188" s="1" t="s">
        <v>25</v>
      </c>
      <c r="Q188" s="1" t="s">
        <v>35</v>
      </c>
      <c r="R188" s="1" t="s">
        <v>66</v>
      </c>
      <c r="S188" s="1">
        <v>0</v>
      </c>
      <c r="T188" s="1">
        <v>1</v>
      </c>
      <c r="U188" s="1">
        <f t="shared" si="16"/>
        <v>1</v>
      </c>
      <c r="V188" s="1">
        <v>0</v>
      </c>
      <c r="W188" s="1">
        <f t="shared" si="17"/>
        <v>1</v>
      </c>
      <c r="X188" s="5">
        <f t="shared" si="15"/>
        <v>0</v>
      </c>
    </row>
    <row r="189" spans="1:24" ht="15" customHeight="1">
      <c r="A189" s="6">
        <v>46054</v>
      </c>
      <c r="B189" s="1" t="s">
        <v>18</v>
      </c>
      <c r="C189" s="1" t="s">
        <v>528</v>
      </c>
      <c r="D189" s="1" t="s">
        <v>566</v>
      </c>
      <c r="E189" s="1" t="s">
        <v>530</v>
      </c>
      <c r="F189" s="1" t="s">
        <v>567</v>
      </c>
      <c r="G189" s="1" t="s">
        <v>43</v>
      </c>
      <c r="H189" s="1" t="s">
        <v>24</v>
      </c>
      <c r="I189" s="2">
        <v>2</v>
      </c>
      <c r="J189" s="2">
        <v>70906</v>
      </c>
      <c r="K189" s="2">
        <v>1180</v>
      </c>
      <c r="L189" s="2">
        <v>0</v>
      </c>
      <c r="M189" s="2">
        <v>0</v>
      </c>
      <c r="N189" s="2">
        <v>142</v>
      </c>
      <c r="O189" s="2">
        <v>72228</v>
      </c>
      <c r="P189" s="1" t="s">
        <v>25</v>
      </c>
      <c r="Q189" s="1" t="s">
        <v>35</v>
      </c>
      <c r="R189" s="1" t="s">
        <v>66</v>
      </c>
      <c r="S189" s="1">
        <v>0</v>
      </c>
      <c r="T189" s="1">
        <v>1</v>
      </c>
      <c r="U189" s="1">
        <f t="shared" si="16"/>
        <v>1</v>
      </c>
      <c r="V189" s="1">
        <v>0</v>
      </c>
      <c r="W189" s="1">
        <f t="shared" si="17"/>
        <v>1</v>
      </c>
      <c r="X189" s="5">
        <f t="shared" si="15"/>
        <v>0</v>
      </c>
    </row>
    <row r="190" spans="1:24" ht="15" customHeight="1">
      <c r="A190" s="6">
        <v>46054</v>
      </c>
      <c r="B190" s="1" t="s">
        <v>18</v>
      </c>
      <c r="C190" s="1" t="s">
        <v>528</v>
      </c>
      <c r="D190" s="1" t="s">
        <v>568</v>
      </c>
      <c r="E190" s="1" t="s">
        <v>530</v>
      </c>
      <c r="F190" s="1" t="s">
        <v>569</v>
      </c>
      <c r="G190" s="1" t="s">
        <v>43</v>
      </c>
      <c r="H190" s="1" t="s">
        <v>24</v>
      </c>
      <c r="I190" s="2">
        <v>2</v>
      </c>
      <c r="J190" s="2">
        <v>68733</v>
      </c>
      <c r="K190" s="2">
        <v>1180</v>
      </c>
      <c r="L190" s="2">
        <v>0</v>
      </c>
      <c r="M190" s="2">
        <v>0</v>
      </c>
      <c r="N190" s="2">
        <v>142</v>
      </c>
      <c r="O190" s="2">
        <v>70055</v>
      </c>
      <c r="P190" s="1" t="s">
        <v>25</v>
      </c>
      <c r="Q190" s="1" t="s">
        <v>35</v>
      </c>
      <c r="R190" s="1" t="s">
        <v>66</v>
      </c>
      <c r="S190" s="1">
        <v>0</v>
      </c>
      <c r="T190" s="1">
        <v>1</v>
      </c>
      <c r="U190" s="1">
        <f t="shared" si="16"/>
        <v>1</v>
      </c>
      <c r="V190" s="1">
        <v>0</v>
      </c>
      <c r="W190" s="1">
        <f t="shared" si="17"/>
        <v>1</v>
      </c>
      <c r="X190" s="5">
        <f t="shared" si="15"/>
        <v>0</v>
      </c>
    </row>
    <row r="191" spans="1:24" ht="15" customHeight="1">
      <c r="A191" s="6">
        <v>46054</v>
      </c>
      <c r="B191" s="1" t="s">
        <v>18</v>
      </c>
      <c r="C191" s="1" t="s">
        <v>528</v>
      </c>
      <c r="D191" s="1" t="s">
        <v>570</v>
      </c>
      <c r="E191" s="1" t="s">
        <v>571</v>
      </c>
      <c r="F191" s="1" t="s">
        <v>572</v>
      </c>
      <c r="G191" s="1" t="s">
        <v>43</v>
      </c>
      <c r="H191" s="1" t="s">
        <v>24</v>
      </c>
      <c r="I191" s="2">
        <v>2.16</v>
      </c>
      <c r="J191" s="2">
        <v>70928</v>
      </c>
      <c r="K191" s="2">
        <v>1180</v>
      </c>
      <c r="L191" s="2">
        <v>0</v>
      </c>
      <c r="M191" s="2">
        <v>0</v>
      </c>
      <c r="N191" s="2">
        <v>142</v>
      </c>
      <c r="O191" s="2">
        <v>72250</v>
      </c>
      <c r="P191" s="1" t="s">
        <v>25</v>
      </c>
      <c r="Q191" s="1" t="s">
        <v>35</v>
      </c>
      <c r="R191" s="1" t="s">
        <v>66</v>
      </c>
      <c r="S191" s="1">
        <v>0</v>
      </c>
      <c r="T191" s="1">
        <v>1</v>
      </c>
      <c r="U191" s="1">
        <f t="shared" si="16"/>
        <v>1</v>
      </c>
      <c r="V191" s="1">
        <v>0</v>
      </c>
      <c r="W191" s="1">
        <f t="shared" si="17"/>
        <v>1</v>
      </c>
      <c r="X191" s="5">
        <f t="shared" si="15"/>
        <v>0</v>
      </c>
    </row>
    <row r="192" spans="1:24" ht="15" customHeight="1">
      <c r="A192" s="6">
        <v>46054</v>
      </c>
      <c r="B192" s="1" t="s">
        <v>18</v>
      </c>
      <c r="C192" s="1" t="s">
        <v>528</v>
      </c>
      <c r="D192" s="1" t="s">
        <v>573</v>
      </c>
      <c r="E192" s="1" t="s">
        <v>540</v>
      </c>
      <c r="F192" s="1" t="s">
        <v>574</v>
      </c>
      <c r="G192" s="1" t="s">
        <v>43</v>
      </c>
      <c r="H192" s="1" t="s">
        <v>24</v>
      </c>
      <c r="I192" s="2">
        <v>3</v>
      </c>
      <c r="J192" s="2">
        <v>72903</v>
      </c>
      <c r="K192" s="2">
        <v>1180</v>
      </c>
      <c r="L192" s="2">
        <v>0</v>
      </c>
      <c r="M192" s="2">
        <v>0</v>
      </c>
      <c r="N192" s="2">
        <v>142</v>
      </c>
      <c r="O192" s="2">
        <v>74225</v>
      </c>
      <c r="P192" s="1" t="s">
        <v>25</v>
      </c>
      <c r="Q192" s="1" t="s">
        <v>35</v>
      </c>
      <c r="R192" s="1" t="s">
        <v>66</v>
      </c>
      <c r="S192" s="1">
        <v>0</v>
      </c>
      <c r="T192" s="1">
        <v>1</v>
      </c>
      <c r="U192" s="1">
        <f t="shared" si="16"/>
        <v>1</v>
      </c>
      <c r="V192" s="1">
        <v>0</v>
      </c>
      <c r="W192" s="1">
        <f t="shared" si="17"/>
        <v>1</v>
      </c>
      <c r="X192" s="5">
        <f t="shared" si="15"/>
        <v>0</v>
      </c>
    </row>
    <row r="193" spans="1:24">
      <c r="A193" s="6">
        <v>46054</v>
      </c>
      <c r="B193" s="1" t="s">
        <v>18</v>
      </c>
      <c r="C193" s="1" t="s">
        <v>528</v>
      </c>
      <c r="D193" s="1" t="s">
        <v>575</v>
      </c>
      <c r="E193" s="1" t="s">
        <v>530</v>
      </c>
      <c r="F193" s="1" t="s">
        <v>576</v>
      </c>
      <c r="G193" s="1" t="s">
        <v>43</v>
      </c>
      <c r="H193" s="1" t="s">
        <v>24</v>
      </c>
      <c r="I193" s="2">
        <v>2</v>
      </c>
      <c r="J193" s="2">
        <v>67510</v>
      </c>
      <c r="K193" s="2">
        <v>1180</v>
      </c>
      <c r="L193" s="2">
        <v>0</v>
      </c>
      <c r="M193" s="2">
        <v>0</v>
      </c>
      <c r="N193" s="2">
        <v>142</v>
      </c>
      <c r="O193" s="2">
        <v>68832</v>
      </c>
      <c r="P193" s="1" t="s">
        <v>25</v>
      </c>
      <c r="Q193" s="1" t="s">
        <v>35</v>
      </c>
      <c r="R193" s="1" t="s">
        <v>66</v>
      </c>
      <c r="S193" s="1">
        <v>0</v>
      </c>
      <c r="T193" s="1">
        <v>1</v>
      </c>
      <c r="U193" s="1">
        <f t="shared" si="16"/>
        <v>1</v>
      </c>
      <c r="V193" s="1">
        <v>0</v>
      </c>
      <c r="W193" s="1">
        <f t="shared" si="17"/>
        <v>1</v>
      </c>
      <c r="X193" s="5">
        <f t="shared" ref="X193:X256" si="18">100/U193*S193</f>
        <v>0</v>
      </c>
    </row>
    <row r="194" spans="1:24">
      <c r="A194" s="6">
        <v>46054</v>
      </c>
      <c r="B194" s="1" t="s">
        <v>18</v>
      </c>
      <c r="C194" s="1" t="s">
        <v>528</v>
      </c>
      <c r="D194" s="1" t="s">
        <v>577</v>
      </c>
      <c r="E194" s="1" t="s">
        <v>530</v>
      </c>
      <c r="F194" s="1" t="s">
        <v>578</v>
      </c>
      <c r="G194" s="1" t="s">
        <v>43</v>
      </c>
      <c r="H194" s="1" t="s">
        <v>24</v>
      </c>
      <c r="I194" s="2">
        <v>2</v>
      </c>
      <c r="J194" s="2">
        <v>71420</v>
      </c>
      <c r="K194" s="2">
        <v>1180</v>
      </c>
      <c r="L194" s="2">
        <v>0</v>
      </c>
      <c r="M194" s="2">
        <v>0</v>
      </c>
      <c r="N194" s="2">
        <v>118</v>
      </c>
      <c r="O194" s="2">
        <v>72718</v>
      </c>
      <c r="P194" s="1" t="s">
        <v>25</v>
      </c>
      <c r="Q194" s="1" t="s">
        <v>35</v>
      </c>
      <c r="R194" s="1" t="s">
        <v>66</v>
      </c>
      <c r="S194" s="1">
        <v>0</v>
      </c>
      <c r="T194" s="1">
        <v>1</v>
      </c>
      <c r="U194" s="1">
        <f t="shared" ref="U194:U252" si="19">T194+S194</f>
        <v>1</v>
      </c>
      <c r="V194" s="1">
        <v>0</v>
      </c>
      <c r="W194" s="1">
        <f t="shared" ref="W194:W257" si="20">V194+U194</f>
        <v>1</v>
      </c>
      <c r="X194" s="5">
        <f t="shared" si="18"/>
        <v>0</v>
      </c>
    </row>
    <row r="195" spans="1:24">
      <c r="A195" s="6">
        <v>46054</v>
      </c>
      <c r="B195" s="1" t="s">
        <v>18</v>
      </c>
      <c r="C195" s="1" t="s">
        <v>528</v>
      </c>
      <c r="D195" s="1" t="s">
        <v>579</v>
      </c>
      <c r="E195" s="1" t="s">
        <v>530</v>
      </c>
      <c r="F195" s="1" t="s">
        <v>580</v>
      </c>
      <c r="G195" s="1" t="s">
        <v>34</v>
      </c>
      <c r="H195" s="1" t="s">
        <v>24</v>
      </c>
      <c r="I195" s="2">
        <v>3</v>
      </c>
      <c r="J195" s="2">
        <v>71403</v>
      </c>
      <c r="K195" s="2">
        <v>1180</v>
      </c>
      <c r="L195" s="2">
        <v>0</v>
      </c>
      <c r="M195" s="2">
        <v>0</v>
      </c>
      <c r="N195" s="2">
        <v>118</v>
      </c>
      <c r="O195" s="2">
        <v>72701</v>
      </c>
      <c r="P195" s="1" t="s">
        <v>25</v>
      </c>
      <c r="Q195" s="1" t="s">
        <v>35</v>
      </c>
      <c r="R195" s="1" t="s">
        <v>66</v>
      </c>
      <c r="S195" s="1">
        <v>0</v>
      </c>
      <c r="T195" s="1">
        <v>1</v>
      </c>
      <c r="U195" s="1">
        <f t="shared" si="19"/>
        <v>1</v>
      </c>
      <c r="V195" s="1">
        <v>0</v>
      </c>
      <c r="W195" s="1">
        <f t="shared" si="20"/>
        <v>1</v>
      </c>
      <c r="X195" s="5">
        <f t="shared" si="18"/>
        <v>0</v>
      </c>
    </row>
    <row r="196" spans="1:24" ht="15" customHeight="1">
      <c r="A196" s="6">
        <v>46054</v>
      </c>
      <c r="B196" s="1" t="s">
        <v>18</v>
      </c>
      <c r="C196" s="1" t="s">
        <v>528</v>
      </c>
      <c r="D196" s="1" t="s">
        <v>581</v>
      </c>
      <c r="E196" s="1" t="s">
        <v>582</v>
      </c>
      <c r="F196" s="1" t="s">
        <v>583</v>
      </c>
      <c r="G196" s="1"/>
      <c r="H196" s="1" t="s">
        <v>24</v>
      </c>
      <c r="I196" s="2">
        <v>0.75</v>
      </c>
      <c r="J196" s="2">
        <v>11640</v>
      </c>
      <c r="K196" s="2">
        <v>1180</v>
      </c>
      <c r="L196" s="2">
        <v>0</v>
      </c>
      <c r="M196" s="2">
        <v>0</v>
      </c>
      <c r="N196" s="2">
        <v>118</v>
      </c>
      <c r="O196" s="2">
        <v>12938</v>
      </c>
      <c r="P196" s="1" t="s">
        <v>25</v>
      </c>
      <c r="Q196" s="1" t="s">
        <v>35</v>
      </c>
      <c r="R196" s="1" t="s">
        <v>27</v>
      </c>
      <c r="S196" s="1">
        <v>0</v>
      </c>
      <c r="T196" s="1">
        <v>1</v>
      </c>
      <c r="U196" s="1">
        <f t="shared" si="19"/>
        <v>1</v>
      </c>
      <c r="V196" s="1">
        <v>0</v>
      </c>
      <c r="W196" s="1">
        <f t="shared" si="20"/>
        <v>1</v>
      </c>
      <c r="X196" s="5">
        <f t="shared" si="18"/>
        <v>0</v>
      </c>
    </row>
    <row r="197" spans="1:24" ht="15" customHeight="1">
      <c r="A197" s="6">
        <v>46054</v>
      </c>
      <c r="B197" s="1" t="s">
        <v>49</v>
      </c>
      <c r="C197" s="1" t="s">
        <v>528</v>
      </c>
      <c r="D197" s="1" t="s">
        <v>584</v>
      </c>
      <c r="E197" s="1" t="s">
        <v>530</v>
      </c>
      <c r="F197" s="1" t="s">
        <v>1419</v>
      </c>
      <c r="G197" s="1" t="s">
        <v>43</v>
      </c>
      <c r="H197" s="1" t="s">
        <v>54</v>
      </c>
      <c r="I197" s="2">
        <v>2.5</v>
      </c>
      <c r="J197" s="2">
        <v>284602</v>
      </c>
      <c r="K197" s="2">
        <v>0</v>
      </c>
      <c r="L197" s="2">
        <v>0</v>
      </c>
      <c r="M197" s="2">
        <v>0</v>
      </c>
      <c r="N197" s="2">
        <v>0</v>
      </c>
      <c r="O197" s="2">
        <v>284602</v>
      </c>
      <c r="P197" s="1" t="s">
        <v>25</v>
      </c>
      <c r="Q197" s="1" t="s">
        <v>26</v>
      </c>
      <c r="R197" s="1" t="s">
        <v>66</v>
      </c>
      <c r="S197" s="1">
        <v>0</v>
      </c>
      <c r="T197" s="1">
        <v>0</v>
      </c>
      <c r="U197" s="1">
        <f t="shared" si="19"/>
        <v>0</v>
      </c>
      <c r="V197" s="1">
        <v>1</v>
      </c>
      <c r="W197" s="1">
        <f t="shared" si="20"/>
        <v>1</v>
      </c>
      <c r="X197" s="5" t="e">
        <f t="shared" si="18"/>
        <v>#DIV/0!</v>
      </c>
    </row>
    <row r="198" spans="1:24" ht="15" customHeight="1">
      <c r="A198" s="6">
        <v>46054</v>
      </c>
      <c r="B198" s="1" t="s">
        <v>49</v>
      </c>
      <c r="C198" s="1" t="s">
        <v>528</v>
      </c>
      <c r="D198" s="1" t="s">
        <v>585</v>
      </c>
      <c r="E198" s="1" t="s">
        <v>203</v>
      </c>
      <c r="F198" s="1" t="s">
        <v>586</v>
      </c>
      <c r="G198" s="1" t="s">
        <v>587</v>
      </c>
      <c r="H198" s="1" t="s">
        <v>54</v>
      </c>
      <c r="I198" s="2">
        <v>4</v>
      </c>
      <c r="J198" s="2">
        <v>167949</v>
      </c>
      <c r="K198" s="2">
        <v>0</v>
      </c>
      <c r="L198" s="2">
        <v>0</v>
      </c>
      <c r="M198" s="2">
        <v>0</v>
      </c>
      <c r="N198" s="2">
        <v>0</v>
      </c>
      <c r="O198" s="2">
        <v>167949</v>
      </c>
      <c r="P198" s="1" t="s">
        <v>25</v>
      </c>
      <c r="Q198" s="1" t="s">
        <v>26</v>
      </c>
      <c r="R198" s="1" t="s">
        <v>66</v>
      </c>
      <c r="S198" s="1">
        <v>0</v>
      </c>
      <c r="T198" s="1">
        <v>0</v>
      </c>
      <c r="U198" s="1">
        <f t="shared" si="19"/>
        <v>0</v>
      </c>
      <c r="V198" s="1">
        <v>1</v>
      </c>
      <c r="W198" s="1">
        <f t="shared" si="20"/>
        <v>1</v>
      </c>
      <c r="X198" s="5" t="e">
        <f t="shared" si="18"/>
        <v>#DIV/0!</v>
      </c>
    </row>
    <row r="199" spans="1:24" ht="15" customHeight="1">
      <c r="A199" s="6">
        <v>46054</v>
      </c>
      <c r="B199" s="1" t="s">
        <v>49</v>
      </c>
      <c r="C199" s="1" t="s">
        <v>528</v>
      </c>
      <c r="D199" s="1" t="s">
        <v>588</v>
      </c>
      <c r="E199" s="1" t="s">
        <v>589</v>
      </c>
      <c r="F199" s="1" t="s">
        <v>590</v>
      </c>
      <c r="G199" s="1" t="s">
        <v>43</v>
      </c>
      <c r="H199" s="1" t="s">
        <v>54</v>
      </c>
      <c r="I199" s="2">
        <v>15</v>
      </c>
      <c r="J199" s="2">
        <v>50723</v>
      </c>
      <c r="K199" s="2">
        <v>0</v>
      </c>
      <c r="L199" s="2">
        <v>0</v>
      </c>
      <c r="M199" s="2">
        <v>0</v>
      </c>
      <c r="N199" s="2">
        <v>0</v>
      </c>
      <c r="O199" s="2">
        <v>50723</v>
      </c>
      <c r="P199" s="1" t="s">
        <v>25</v>
      </c>
      <c r="Q199" s="1" t="s">
        <v>26</v>
      </c>
      <c r="R199" s="1" t="s">
        <v>66</v>
      </c>
      <c r="S199" s="1">
        <v>0</v>
      </c>
      <c r="T199" s="1">
        <v>0</v>
      </c>
      <c r="U199" s="1">
        <f t="shared" si="19"/>
        <v>0</v>
      </c>
      <c r="V199" s="1">
        <v>1</v>
      </c>
      <c r="W199" s="1">
        <f t="shared" si="20"/>
        <v>1</v>
      </c>
      <c r="X199" s="5" t="e">
        <f t="shared" si="18"/>
        <v>#DIV/0!</v>
      </c>
    </row>
    <row r="200" spans="1:24" ht="15" customHeight="1">
      <c r="A200" s="6">
        <v>46054</v>
      </c>
      <c r="B200" s="1" t="s">
        <v>49</v>
      </c>
      <c r="C200" s="1" t="s">
        <v>528</v>
      </c>
      <c r="D200" s="1" t="s">
        <v>591</v>
      </c>
      <c r="E200" s="1" t="s">
        <v>592</v>
      </c>
      <c r="F200" s="1" t="s">
        <v>590</v>
      </c>
      <c r="G200" s="1" t="s">
        <v>43</v>
      </c>
      <c r="H200" s="1" t="s">
        <v>54</v>
      </c>
      <c r="I200" s="2">
        <v>15</v>
      </c>
      <c r="J200" s="2">
        <v>40425</v>
      </c>
      <c r="K200" s="2">
        <v>0</v>
      </c>
      <c r="L200" s="2">
        <v>0</v>
      </c>
      <c r="M200" s="2">
        <v>0</v>
      </c>
      <c r="N200" s="2">
        <v>0</v>
      </c>
      <c r="O200" s="2">
        <v>40425</v>
      </c>
      <c r="P200" s="1" t="s">
        <v>25</v>
      </c>
      <c r="Q200" s="1" t="s">
        <v>26</v>
      </c>
      <c r="R200" s="1" t="s">
        <v>66</v>
      </c>
      <c r="S200" s="1">
        <v>0</v>
      </c>
      <c r="T200" s="1">
        <v>0</v>
      </c>
      <c r="U200" s="1">
        <f t="shared" si="19"/>
        <v>0</v>
      </c>
      <c r="V200" s="1">
        <v>1</v>
      </c>
      <c r="W200" s="1">
        <f t="shared" si="20"/>
        <v>1</v>
      </c>
      <c r="X200" s="5" t="e">
        <f t="shared" si="18"/>
        <v>#DIV/0!</v>
      </c>
    </row>
    <row r="201" spans="1:24" ht="15" customHeight="1">
      <c r="A201" s="6">
        <v>46054</v>
      </c>
      <c r="B201" s="1" t="s">
        <v>49</v>
      </c>
      <c r="C201" s="1" t="s">
        <v>528</v>
      </c>
      <c r="D201" s="1" t="s">
        <v>593</v>
      </c>
      <c r="E201" s="1" t="s">
        <v>592</v>
      </c>
      <c r="F201" s="1" t="s">
        <v>169</v>
      </c>
      <c r="G201" s="1" t="s">
        <v>594</v>
      </c>
      <c r="H201" s="1" t="s">
        <v>54</v>
      </c>
      <c r="I201" s="2">
        <v>15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1" t="s">
        <v>25</v>
      </c>
      <c r="Q201" s="1" t="s">
        <v>26</v>
      </c>
      <c r="R201" s="1" t="s">
        <v>66</v>
      </c>
      <c r="S201" s="1">
        <v>0</v>
      </c>
      <c r="T201" s="1">
        <v>0</v>
      </c>
      <c r="U201" s="1">
        <f t="shared" si="19"/>
        <v>0</v>
      </c>
      <c r="V201" s="1">
        <v>1</v>
      </c>
      <c r="W201" s="1">
        <f t="shared" si="20"/>
        <v>1</v>
      </c>
      <c r="X201" s="5" t="e">
        <f t="shared" si="18"/>
        <v>#DIV/0!</v>
      </c>
    </row>
    <row r="202" spans="1:24" ht="15" customHeight="1">
      <c r="A202" s="6">
        <v>46054</v>
      </c>
      <c r="B202" s="1" t="s">
        <v>49</v>
      </c>
      <c r="C202" s="1" t="s">
        <v>528</v>
      </c>
      <c r="D202" s="1" t="s">
        <v>595</v>
      </c>
      <c r="E202" s="1" t="s">
        <v>592</v>
      </c>
      <c r="F202" s="1" t="s">
        <v>169</v>
      </c>
      <c r="G202" s="1" t="s">
        <v>594</v>
      </c>
      <c r="H202" s="1" t="s">
        <v>54</v>
      </c>
      <c r="I202" s="2">
        <v>15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1" t="s">
        <v>25</v>
      </c>
      <c r="Q202" s="1" t="s">
        <v>26</v>
      </c>
      <c r="R202" s="1" t="s">
        <v>66</v>
      </c>
      <c r="S202" s="1">
        <v>0</v>
      </c>
      <c r="T202" s="1">
        <v>0</v>
      </c>
      <c r="U202" s="1">
        <f t="shared" si="19"/>
        <v>0</v>
      </c>
      <c r="V202" s="1">
        <v>1</v>
      </c>
      <c r="W202" s="1">
        <f t="shared" si="20"/>
        <v>1</v>
      </c>
      <c r="X202" s="5" t="e">
        <f t="shared" si="18"/>
        <v>#DIV/0!</v>
      </c>
    </row>
    <row r="203" spans="1:24" ht="15" customHeight="1">
      <c r="A203" s="6">
        <v>46054</v>
      </c>
      <c r="B203" s="1" t="s">
        <v>49</v>
      </c>
      <c r="C203" s="1" t="s">
        <v>528</v>
      </c>
      <c r="D203" s="1" t="s">
        <v>596</v>
      </c>
      <c r="E203" s="1" t="s">
        <v>597</v>
      </c>
      <c r="F203" s="1" t="s">
        <v>598</v>
      </c>
      <c r="G203" s="1" t="s">
        <v>43</v>
      </c>
      <c r="H203" s="1" t="s">
        <v>54</v>
      </c>
      <c r="I203" s="2">
        <v>3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1" t="s">
        <v>25</v>
      </c>
      <c r="Q203" s="1" t="s">
        <v>26</v>
      </c>
      <c r="R203" s="1" t="s">
        <v>66</v>
      </c>
      <c r="S203" s="1">
        <v>0</v>
      </c>
      <c r="T203" s="1">
        <v>0</v>
      </c>
      <c r="U203" s="1">
        <f t="shared" si="19"/>
        <v>0</v>
      </c>
      <c r="V203" s="1">
        <v>1</v>
      </c>
      <c r="W203" s="1">
        <f t="shared" si="20"/>
        <v>1</v>
      </c>
      <c r="X203" s="5" t="e">
        <f t="shared" si="18"/>
        <v>#DIV/0!</v>
      </c>
    </row>
    <row r="204" spans="1:24" ht="15" customHeight="1">
      <c r="A204" s="6">
        <v>46054</v>
      </c>
      <c r="B204" s="1" t="s">
        <v>49</v>
      </c>
      <c r="C204" s="1" t="s">
        <v>528</v>
      </c>
      <c r="D204" s="1" t="s">
        <v>599</v>
      </c>
      <c r="E204" s="1" t="s">
        <v>600</v>
      </c>
      <c r="F204" s="1" t="s">
        <v>601</v>
      </c>
      <c r="G204" s="1" t="s">
        <v>602</v>
      </c>
      <c r="H204" s="1" t="s">
        <v>54</v>
      </c>
      <c r="I204" s="2">
        <v>3.5</v>
      </c>
      <c r="J204" s="2">
        <v>78964</v>
      </c>
      <c r="K204" s="2">
        <v>0</v>
      </c>
      <c r="L204" s="2">
        <v>0</v>
      </c>
      <c r="M204" s="2">
        <v>0</v>
      </c>
      <c r="N204" s="2">
        <v>0</v>
      </c>
      <c r="O204" s="2">
        <v>78964</v>
      </c>
      <c r="P204" s="1" t="s">
        <v>25</v>
      </c>
      <c r="Q204" s="1" t="s">
        <v>26</v>
      </c>
      <c r="R204" s="1" t="s">
        <v>66</v>
      </c>
      <c r="S204" s="1">
        <v>0</v>
      </c>
      <c r="T204" s="1">
        <v>0</v>
      </c>
      <c r="U204" s="1">
        <f t="shared" si="19"/>
        <v>0</v>
      </c>
      <c r="V204" s="1">
        <v>1</v>
      </c>
      <c r="W204" s="1">
        <f t="shared" si="20"/>
        <v>1</v>
      </c>
      <c r="X204" s="5" t="e">
        <f t="shared" si="18"/>
        <v>#DIV/0!</v>
      </c>
    </row>
    <row r="205" spans="1:24" ht="15" customHeight="1">
      <c r="A205" s="6">
        <v>46054</v>
      </c>
      <c r="B205" s="1" t="s">
        <v>49</v>
      </c>
      <c r="C205" s="1" t="s">
        <v>528</v>
      </c>
      <c r="D205" s="1" t="s">
        <v>603</v>
      </c>
      <c r="E205" s="1" t="s">
        <v>592</v>
      </c>
      <c r="F205" s="1" t="s">
        <v>590</v>
      </c>
      <c r="G205" s="1" t="s">
        <v>43</v>
      </c>
      <c r="H205" s="1" t="s">
        <v>54</v>
      </c>
      <c r="I205" s="2">
        <v>15</v>
      </c>
      <c r="J205" s="2">
        <v>55490</v>
      </c>
      <c r="K205" s="2">
        <v>0</v>
      </c>
      <c r="L205" s="2">
        <v>0</v>
      </c>
      <c r="M205" s="2">
        <v>0</v>
      </c>
      <c r="N205" s="2">
        <v>0</v>
      </c>
      <c r="O205" s="2">
        <v>55490</v>
      </c>
      <c r="P205" s="1" t="s">
        <v>25</v>
      </c>
      <c r="Q205" s="1" t="s">
        <v>26</v>
      </c>
      <c r="R205" s="1" t="s">
        <v>66</v>
      </c>
      <c r="S205" s="1">
        <v>0</v>
      </c>
      <c r="T205" s="1">
        <v>0</v>
      </c>
      <c r="U205" s="1">
        <f t="shared" si="19"/>
        <v>0</v>
      </c>
      <c r="V205" s="1">
        <v>1</v>
      </c>
      <c r="W205" s="1">
        <f t="shared" si="20"/>
        <v>1</v>
      </c>
      <c r="X205" s="5" t="e">
        <f t="shared" si="18"/>
        <v>#DIV/0!</v>
      </c>
    </row>
    <row r="206" spans="1:24" ht="15" customHeight="1">
      <c r="A206" s="6">
        <v>46054</v>
      </c>
      <c r="B206" s="1" t="s">
        <v>49</v>
      </c>
      <c r="C206" s="1" t="s">
        <v>528</v>
      </c>
      <c r="D206" s="1" t="s">
        <v>604</v>
      </c>
      <c r="E206" s="1" t="s">
        <v>592</v>
      </c>
      <c r="F206" s="1" t="s">
        <v>590</v>
      </c>
      <c r="G206" s="1" t="s">
        <v>43</v>
      </c>
      <c r="H206" s="1" t="s">
        <v>54</v>
      </c>
      <c r="I206" s="2">
        <v>15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1" t="s">
        <v>25</v>
      </c>
      <c r="Q206" s="1" t="s">
        <v>26</v>
      </c>
      <c r="R206" s="1" t="s">
        <v>66</v>
      </c>
      <c r="S206" s="1">
        <v>0</v>
      </c>
      <c r="T206" s="1">
        <v>0</v>
      </c>
      <c r="U206" s="1">
        <f t="shared" si="19"/>
        <v>0</v>
      </c>
      <c r="V206" s="1">
        <v>1</v>
      </c>
      <c r="W206" s="1">
        <f t="shared" si="20"/>
        <v>1</v>
      </c>
      <c r="X206" s="5" t="e">
        <f t="shared" si="18"/>
        <v>#DIV/0!</v>
      </c>
    </row>
    <row r="207" spans="1:24" ht="15" customHeight="1">
      <c r="A207" s="6">
        <v>46054</v>
      </c>
      <c r="B207" s="1" t="s">
        <v>49</v>
      </c>
      <c r="C207" s="1" t="s">
        <v>528</v>
      </c>
      <c r="D207" s="1" t="s">
        <v>605</v>
      </c>
      <c r="E207" s="1" t="s">
        <v>606</v>
      </c>
      <c r="F207" s="1" t="s">
        <v>607</v>
      </c>
      <c r="G207" s="1" t="s">
        <v>608</v>
      </c>
      <c r="H207" s="1" t="s">
        <v>24</v>
      </c>
      <c r="I207" s="2">
        <v>29.84</v>
      </c>
      <c r="J207" s="2">
        <v>675524</v>
      </c>
      <c r="K207" s="2">
        <v>42973</v>
      </c>
      <c r="L207" s="2">
        <v>0</v>
      </c>
      <c r="M207" s="2">
        <v>0</v>
      </c>
      <c r="N207" s="2">
        <v>3650</v>
      </c>
      <c r="O207" s="2">
        <v>722147</v>
      </c>
      <c r="P207" s="1" t="s">
        <v>25</v>
      </c>
      <c r="Q207" s="1" t="s">
        <v>35</v>
      </c>
      <c r="R207" s="1" t="s">
        <v>153</v>
      </c>
      <c r="S207" s="1">
        <v>1</v>
      </c>
      <c r="T207" s="1">
        <v>0</v>
      </c>
      <c r="U207" s="1">
        <f t="shared" si="19"/>
        <v>1</v>
      </c>
      <c r="V207" s="1">
        <v>0</v>
      </c>
      <c r="W207" s="1">
        <f t="shared" si="20"/>
        <v>1</v>
      </c>
      <c r="X207" s="5">
        <f t="shared" si="18"/>
        <v>100</v>
      </c>
    </row>
    <row r="208" spans="1:24" ht="15" customHeight="1">
      <c r="A208" s="6">
        <v>46054</v>
      </c>
      <c r="B208" s="1" t="s">
        <v>49</v>
      </c>
      <c r="C208" s="1" t="s">
        <v>528</v>
      </c>
      <c r="D208" s="1" t="s">
        <v>609</v>
      </c>
      <c r="E208" s="1" t="s">
        <v>610</v>
      </c>
      <c r="F208" s="1" t="s">
        <v>611</v>
      </c>
      <c r="G208" s="1" t="s">
        <v>612</v>
      </c>
      <c r="H208" s="1" t="s">
        <v>433</v>
      </c>
      <c r="I208" s="2">
        <v>30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1" t="s">
        <v>25</v>
      </c>
      <c r="Q208" s="1" t="s">
        <v>26</v>
      </c>
      <c r="R208" s="1" t="s">
        <v>527</v>
      </c>
      <c r="S208" s="1">
        <v>0</v>
      </c>
      <c r="T208" s="1">
        <v>0</v>
      </c>
      <c r="U208" s="1">
        <f t="shared" si="19"/>
        <v>0</v>
      </c>
      <c r="V208" s="1">
        <v>1</v>
      </c>
      <c r="W208" s="1">
        <f t="shared" si="20"/>
        <v>1</v>
      </c>
      <c r="X208" s="5" t="e">
        <f t="shared" si="18"/>
        <v>#DIV/0!</v>
      </c>
    </row>
    <row r="209" spans="1:24" ht="15" customHeight="1">
      <c r="A209" s="6">
        <v>46054</v>
      </c>
      <c r="B209" s="1" t="s">
        <v>49</v>
      </c>
      <c r="C209" s="1" t="s">
        <v>528</v>
      </c>
      <c r="D209" s="1" t="s">
        <v>613</v>
      </c>
      <c r="E209" s="1" t="s">
        <v>592</v>
      </c>
      <c r="F209" s="1" t="s">
        <v>169</v>
      </c>
      <c r="G209" s="1" t="s">
        <v>594</v>
      </c>
      <c r="H209" s="1" t="s">
        <v>54</v>
      </c>
      <c r="I209" s="2">
        <v>15</v>
      </c>
      <c r="J209" s="2">
        <v>2566</v>
      </c>
      <c r="K209" s="2">
        <v>0</v>
      </c>
      <c r="L209" s="2">
        <v>0</v>
      </c>
      <c r="M209" s="2">
        <v>0</v>
      </c>
      <c r="N209" s="2">
        <v>0</v>
      </c>
      <c r="O209" s="2">
        <v>2566</v>
      </c>
      <c r="P209" s="1" t="s">
        <v>25</v>
      </c>
      <c r="Q209" s="1" t="s">
        <v>26</v>
      </c>
      <c r="R209" s="1" t="s">
        <v>66</v>
      </c>
      <c r="S209" s="1">
        <v>0</v>
      </c>
      <c r="T209" s="1">
        <v>0</v>
      </c>
      <c r="U209" s="1">
        <f t="shared" si="19"/>
        <v>0</v>
      </c>
      <c r="V209" s="1">
        <v>1</v>
      </c>
      <c r="W209" s="1">
        <f t="shared" si="20"/>
        <v>1</v>
      </c>
      <c r="X209" s="5" t="e">
        <f t="shared" si="18"/>
        <v>#DIV/0!</v>
      </c>
    </row>
    <row r="210" spans="1:24" ht="15" customHeight="1">
      <c r="A210" s="6">
        <v>46054</v>
      </c>
      <c r="B210" s="1" t="s">
        <v>49</v>
      </c>
      <c r="C210" s="1" t="s">
        <v>528</v>
      </c>
      <c r="D210" s="1" t="s">
        <v>614</v>
      </c>
      <c r="E210" s="1" t="s">
        <v>540</v>
      </c>
      <c r="F210" s="1" t="s">
        <v>615</v>
      </c>
      <c r="G210" s="1" t="s">
        <v>43</v>
      </c>
      <c r="H210" s="1" t="s">
        <v>54</v>
      </c>
      <c r="I210" s="2">
        <v>3.5</v>
      </c>
      <c r="J210" s="2">
        <v>1</v>
      </c>
      <c r="K210" s="2">
        <v>0</v>
      </c>
      <c r="L210" s="2">
        <v>0</v>
      </c>
      <c r="M210" s="2">
        <v>0</v>
      </c>
      <c r="N210" s="2">
        <v>0</v>
      </c>
      <c r="O210" s="2">
        <v>1</v>
      </c>
      <c r="P210" s="1" t="s">
        <v>25</v>
      </c>
      <c r="Q210" s="1" t="s">
        <v>26</v>
      </c>
      <c r="R210" s="1" t="s">
        <v>66</v>
      </c>
      <c r="S210" s="1">
        <v>0</v>
      </c>
      <c r="T210" s="1">
        <v>0</v>
      </c>
      <c r="U210" s="1">
        <f t="shared" si="19"/>
        <v>0</v>
      </c>
      <c r="V210" s="1">
        <v>1</v>
      </c>
      <c r="W210" s="1">
        <f t="shared" si="20"/>
        <v>1</v>
      </c>
      <c r="X210" s="5" t="e">
        <f t="shared" si="18"/>
        <v>#DIV/0!</v>
      </c>
    </row>
    <row r="211" spans="1:24" ht="15" customHeight="1">
      <c r="A211" s="6">
        <v>46054</v>
      </c>
      <c r="B211" s="1" t="s">
        <v>49</v>
      </c>
      <c r="C211" s="1" t="s">
        <v>528</v>
      </c>
      <c r="D211" s="1" t="s">
        <v>616</v>
      </c>
      <c r="E211" s="1" t="s">
        <v>617</v>
      </c>
      <c r="F211" s="1" t="s">
        <v>43</v>
      </c>
      <c r="G211" s="1"/>
      <c r="H211" s="1" t="s">
        <v>54</v>
      </c>
      <c r="I211" s="2">
        <v>23</v>
      </c>
      <c r="J211" s="2">
        <v>15389</v>
      </c>
      <c r="K211" s="2">
        <v>0</v>
      </c>
      <c r="L211" s="2">
        <v>0</v>
      </c>
      <c r="M211" s="2">
        <v>0</v>
      </c>
      <c r="N211" s="2">
        <v>0</v>
      </c>
      <c r="O211" s="2">
        <v>15389</v>
      </c>
      <c r="P211" s="1" t="s">
        <v>25</v>
      </c>
      <c r="Q211" s="1" t="s">
        <v>26</v>
      </c>
      <c r="R211" s="1" t="s">
        <v>66</v>
      </c>
      <c r="S211" s="1">
        <v>0</v>
      </c>
      <c r="T211" s="1">
        <v>0</v>
      </c>
      <c r="U211" s="1">
        <f t="shared" si="19"/>
        <v>0</v>
      </c>
      <c r="V211" s="1">
        <v>1</v>
      </c>
      <c r="W211" s="1">
        <f t="shared" si="20"/>
        <v>1</v>
      </c>
      <c r="X211" s="5" t="e">
        <f t="shared" si="18"/>
        <v>#DIV/0!</v>
      </c>
    </row>
    <row r="212" spans="1:24" ht="15" customHeight="1">
      <c r="A212" s="6">
        <v>46054</v>
      </c>
      <c r="B212" s="1" t="s">
        <v>18</v>
      </c>
      <c r="C212" s="1" t="s">
        <v>618</v>
      </c>
      <c r="D212" s="1" t="s">
        <v>619</v>
      </c>
      <c r="E212" s="1" t="s">
        <v>620</v>
      </c>
      <c r="F212" s="1" t="s">
        <v>621</v>
      </c>
      <c r="G212" s="1" t="s">
        <v>43</v>
      </c>
      <c r="H212" s="1" t="s">
        <v>24</v>
      </c>
      <c r="I212" s="2">
        <v>2.38</v>
      </c>
      <c r="J212" s="2">
        <v>97609</v>
      </c>
      <c r="K212" s="2">
        <v>1180</v>
      </c>
      <c r="L212" s="2">
        <v>0</v>
      </c>
      <c r="M212" s="2">
        <v>0</v>
      </c>
      <c r="N212" s="2">
        <v>100</v>
      </c>
      <c r="O212" s="2">
        <v>98889</v>
      </c>
      <c r="P212" s="1" t="s">
        <v>25</v>
      </c>
      <c r="Q212" s="1" t="s">
        <v>35</v>
      </c>
      <c r="R212" s="1" t="s">
        <v>27</v>
      </c>
      <c r="S212" s="1">
        <v>0</v>
      </c>
      <c r="T212" s="1">
        <v>1</v>
      </c>
      <c r="U212" s="1">
        <f t="shared" si="19"/>
        <v>1</v>
      </c>
      <c r="V212" s="1">
        <v>0</v>
      </c>
      <c r="W212" s="1">
        <f t="shared" si="20"/>
        <v>1</v>
      </c>
      <c r="X212" s="5">
        <f t="shared" si="18"/>
        <v>0</v>
      </c>
    </row>
    <row r="213" spans="1:24" ht="15" customHeight="1">
      <c r="A213" s="6">
        <v>46054</v>
      </c>
      <c r="B213" s="1" t="s">
        <v>18</v>
      </c>
      <c r="C213" s="1" t="s">
        <v>618</v>
      </c>
      <c r="D213" s="1" t="s">
        <v>622</v>
      </c>
      <c r="E213" s="1" t="s">
        <v>623</v>
      </c>
      <c r="F213" s="1" t="s">
        <v>624</v>
      </c>
      <c r="G213" s="1" t="s">
        <v>625</v>
      </c>
      <c r="H213" s="1" t="s">
        <v>24</v>
      </c>
      <c r="I213" s="2">
        <v>0.9</v>
      </c>
      <c r="J213" s="2">
        <v>382584</v>
      </c>
      <c r="K213" s="2">
        <v>3734</v>
      </c>
      <c r="L213" s="2">
        <v>0</v>
      </c>
      <c r="M213" s="2">
        <v>0</v>
      </c>
      <c r="N213" s="2">
        <v>100</v>
      </c>
      <c r="O213" s="2">
        <v>386418</v>
      </c>
      <c r="P213" s="1" t="s">
        <v>25</v>
      </c>
      <c r="Q213" s="1" t="s">
        <v>35</v>
      </c>
      <c r="R213" s="1" t="s">
        <v>27</v>
      </c>
      <c r="S213" s="1">
        <v>0</v>
      </c>
      <c r="T213" s="1">
        <v>1</v>
      </c>
      <c r="U213" s="1">
        <f t="shared" si="19"/>
        <v>1</v>
      </c>
      <c r="V213" s="1">
        <v>0</v>
      </c>
      <c r="W213" s="1">
        <f t="shared" si="20"/>
        <v>1</v>
      </c>
      <c r="X213" s="5">
        <f t="shared" si="18"/>
        <v>0</v>
      </c>
    </row>
    <row r="214" spans="1:24" ht="15" customHeight="1">
      <c r="A214" s="6">
        <v>46054</v>
      </c>
      <c r="B214" s="1" t="s">
        <v>18</v>
      </c>
      <c r="C214" s="1" t="s">
        <v>618</v>
      </c>
      <c r="D214" s="1" t="s">
        <v>626</v>
      </c>
      <c r="E214" s="1" t="s">
        <v>627</v>
      </c>
      <c r="F214" s="1" t="s">
        <v>628</v>
      </c>
      <c r="G214" s="1"/>
      <c r="H214" s="1" t="s">
        <v>24</v>
      </c>
      <c r="I214" s="2">
        <v>2</v>
      </c>
      <c r="J214" s="2">
        <v>318641</v>
      </c>
      <c r="K214" s="2">
        <v>1180</v>
      </c>
      <c r="L214" s="2">
        <v>0</v>
      </c>
      <c r="M214" s="2">
        <v>0</v>
      </c>
      <c r="N214" s="2">
        <v>100</v>
      </c>
      <c r="O214" s="2">
        <v>319921</v>
      </c>
      <c r="P214" s="1" t="s">
        <v>25</v>
      </c>
      <c r="Q214" s="1" t="s">
        <v>35</v>
      </c>
      <c r="R214" s="1" t="s">
        <v>27</v>
      </c>
      <c r="S214" s="1">
        <v>0</v>
      </c>
      <c r="T214" s="1">
        <v>1</v>
      </c>
      <c r="U214" s="1">
        <f t="shared" si="19"/>
        <v>1</v>
      </c>
      <c r="V214" s="1">
        <v>0</v>
      </c>
      <c r="W214" s="1">
        <f t="shared" si="20"/>
        <v>1</v>
      </c>
      <c r="X214" s="5">
        <f t="shared" si="18"/>
        <v>0</v>
      </c>
    </row>
    <row r="215" spans="1:24" ht="15" customHeight="1">
      <c r="A215" s="6">
        <v>46054</v>
      </c>
      <c r="B215" s="1" t="s">
        <v>18</v>
      </c>
      <c r="C215" s="1" t="s">
        <v>618</v>
      </c>
      <c r="D215" s="1" t="s">
        <v>1413</v>
      </c>
      <c r="E215" s="1" t="s">
        <v>1414</v>
      </c>
      <c r="F215" s="1" t="s">
        <v>1415</v>
      </c>
      <c r="G215" s="1" t="s">
        <v>1416</v>
      </c>
      <c r="H215" s="1" t="s">
        <v>24</v>
      </c>
      <c r="I215" s="2">
        <v>3</v>
      </c>
      <c r="J215" s="2">
        <v>104213</v>
      </c>
      <c r="K215" s="2">
        <v>2341</v>
      </c>
      <c r="L215" s="2">
        <v>0</v>
      </c>
      <c r="M215" s="2">
        <v>0</v>
      </c>
      <c r="N215" s="2">
        <v>3052</v>
      </c>
      <c r="O215" s="2">
        <v>109606</v>
      </c>
      <c r="P215" s="1" t="s">
        <v>25</v>
      </c>
      <c r="Q215" s="1" t="s">
        <v>35</v>
      </c>
      <c r="R215" s="1" t="s">
        <v>311</v>
      </c>
      <c r="S215" s="1">
        <v>0</v>
      </c>
      <c r="T215" s="1">
        <v>1</v>
      </c>
      <c r="U215" s="1">
        <f t="shared" si="19"/>
        <v>1</v>
      </c>
      <c r="V215" s="1">
        <v>0</v>
      </c>
      <c r="W215" s="1">
        <f t="shared" si="20"/>
        <v>1</v>
      </c>
      <c r="X215" s="5">
        <f t="shared" si="18"/>
        <v>0</v>
      </c>
    </row>
    <row r="216" spans="1:24" ht="15" customHeight="1">
      <c r="A216" s="6">
        <v>46054</v>
      </c>
      <c r="B216" s="1" t="s">
        <v>49</v>
      </c>
      <c r="C216" s="1" t="s">
        <v>629</v>
      </c>
      <c r="D216" s="1" t="s">
        <v>630</v>
      </c>
      <c r="E216" s="1" t="s">
        <v>631</v>
      </c>
      <c r="F216" s="1" t="s">
        <v>632</v>
      </c>
      <c r="G216" s="1" t="s">
        <v>633</v>
      </c>
      <c r="H216" s="1" t="s">
        <v>54</v>
      </c>
      <c r="I216" s="2">
        <v>37</v>
      </c>
      <c r="J216" s="2">
        <v>2920005</v>
      </c>
      <c r="K216" s="2">
        <v>4404</v>
      </c>
      <c r="L216" s="2">
        <v>0</v>
      </c>
      <c r="M216" s="2">
        <v>0</v>
      </c>
      <c r="N216" s="2">
        <v>561</v>
      </c>
      <c r="O216" s="2">
        <v>2924970</v>
      </c>
      <c r="P216" s="1" t="s">
        <v>25</v>
      </c>
      <c r="Q216" s="1" t="s">
        <v>35</v>
      </c>
      <c r="R216" s="1" t="s">
        <v>634</v>
      </c>
      <c r="S216" s="1">
        <v>0</v>
      </c>
      <c r="T216" s="1">
        <v>1</v>
      </c>
      <c r="U216" s="1">
        <f t="shared" si="19"/>
        <v>1</v>
      </c>
      <c r="V216" s="1">
        <v>0</v>
      </c>
      <c r="W216" s="1">
        <f t="shared" si="20"/>
        <v>1</v>
      </c>
      <c r="X216" s="5">
        <f t="shared" si="18"/>
        <v>0</v>
      </c>
    </row>
    <row r="217" spans="1:24" ht="15" customHeight="1">
      <c r="A217" s="6">
        <v>46054</v>
      </c>
      <c r="B217" s="1" t="s">
        <v>49</v>
      </c>
      <c r="C217" s="1" t="s">
        <v>629</v>
      </c>
      <c r="D217" s="1" t="s">
        <v>635</v>
      </c>
      <c r="E217" s="1" t="s">
        <v>636</v>
      </c>
      <c r="F217" s="1" t="s">
        <v>637</v>
      </c>
      <c r="G217" s="1" t="s">
        <v>43</v>
      </c>
      <c r="H217" s="1" t="s">
        <v>54</v>
      </c>
      <c r="I217" s="2">
        <v>19.8</v>
      </c>
      <c r="J217" s="2">
        <v>958276</v>
      </c>
      <c r="K217" s="2">
        <v>3322</v>
      </c>
      <c r="L217" s="2">
        <v>0</v>
      </c>
      <c r="M217" s="2">
        <v>0</v>
      </c>
      <c r="N217" s="2">
        <v>423</v>
      </c>
      <c r="O217" s="2">
        <v>962021</v>
      </c>
      <c r="P217" s="1" t="s">
        <v>25</v>
      </c>
      <c r="Q217" s="1" t="s">
        <v>35</v>
      </c>
      <c r="R217" s="1" t="s">
        <v>66</v>
      </c>
      <c r="S217" s="1">
        <v>1</v>
      </c>
      <c r="T217" s="1">
        <v>0</v>
      </c>
      <c r="U217" s="1">
        <f t="shared" si="19"/>
        <v>1</v>
      </c>
      <c r="V217" s="1">
        <v>0</v>
      </c>
      <c r="W217" s="1">
        <f t="shared" si="20"/>
        <v>1</v>
      </c>
      <c r="X217" s="5">
        <f t="shared" si="18"/>
        <v>100</v>
      </c>
    </row>
    <row r="218" spans="1:24" ht="15" customHeight="1">
      <c r="A218" s="6">
        <v>46054</v>
      </c>
      <c r="B218" s="1" t="s">
        <v>49</v>
      </c>
      <c r="C218" s="1" t="s">
        <v>629</v>
      </c>
      <c r="D218" s="1" t="s">
        <v>638</v>
      </c>
      <c r="E218" s="1" t="s">
        <v>639</v>
      </c>
      <c r="F218" s="1" t="s">
        <v>640</v>
      </c>
      <c r="G218" s="1" t="s">
        <v>43</v>
      </c>
      <c r="H218" s="1" t="s">
        <v>54</v>
      </c>
      <c r="I218" s="2">
        <v>30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1" t="s">
        <v>25</v>
      </c>
      <c r="Q218" s="1" t="s">
        <v>26</v>
      </c>
      <c r="R218" s="1" t="s">
        <v>66</v>
      </c>
      <c r="S218" s="1">
        <v>0</v>
      </c>
      <c r="T218" s="1">
        <v>0</v>
      </c>
      <c r="U218" s="1">
        <f t="shared" si="19"/>
        <v>0</v>
      </c>
      <c r="V218" s="1">
        <v>1</v>
      </c>
      <c r="W218" s="1">
        <f t="shared" si="20"/>
        <v>1</v>
      </c>
      <c r="X218" s="5" t="e">
        <f t="shared" si="18"/>
        <v>#DIV/0!</v>
      </c>
    </row>
    <row r="219" spans="1:24" ht="15" customHeight="1">
      <c r="A219" s="6">
        <v>46054</v>
      </c>
      <c r="B219" s="1" t="s">
        <v>49</v>
      </c>
      <c r="C219" s="1" t="s">
        <v>629</v>
      </c>
      <c r="D219" s="1" t="s">
        <v>641</v>
      </c>
      <c r="E219" s="1" t="s">
        <v>169</v>
      </c>
      <c r="F219" s="1" t="s">
        <v>642</v>
      </c>
      <c r="G219" s="1" t="s">
        <v>43</v>
      </c>
      <c r="H219" s="1" t="s">
        <v>54</v>
      </c>
      <c r="I219" s="2">
        <v>30</v>
      </c>
      <c r="J219" s="2">
        <v>3507</v>
      </c>
      <c r="K219" s="2">
        <v>0</v>
      </c>
      <c r="L219" s="2">
        <v>0</v>
      </c>
      <c r="M219" s="2">
        <v>0</v>
      </c>
      <c r="N219" s="2">
        <v>0</v>
      </c>
      <c r="O219" s="2">
        <v>3507</v>
      </c>
      <c r="P219" s="1" t="s">
        <v>25</v>
      </c>
      <c r="Q219" s="1" t="s">
        <v>26</v>
      </c>
      <c r="R219" s="1" t="s">
        <v>66</v>
      </c>
      <c r="S219" s="1">
        <v>0</v>
      </c>
      <c r="T219" s="1">
        <v>0</v>
      </c>
      <c r="U219" s="1">
        <f t="shared" si="19"/>
        <v>0</v>
      </c>
      <c r="V219" s="1">
        <v>1</v>
      </c>
      <c r="W219" s="1">
        <f t="shared" si="20"/>
        <v>1</v>
      </c>
      <c r="X219" s="5" t="e">
        <f t="shared" si="18"/>
        <v>#DIV/0!</v>
      </c>
    </row>
    <row r="220" spans="1:24" ht="15" customHeight="1">
      <c r="A220" s="6">
        <v>46054</v>
      </c>
      <c r="B220" s="1" t="s">
        <v>49</v>
      </c>
      <c r="C220" s="1" t="s">
        <v>629</v>
      </c>
      <c r="D220" s="1" t="s">
        <v>643</v>
      </c>
      <c r="E220" s="1" t="s">
        <v>636</v>
      </c>
      <c r="F220" s="1" t="s">
        <v>644</v>
      </c>
      <c r="G220" s="1" t="s">
        <v>43</v>
      </c>
      <c r="H220" s="1" t="s">
        <v>433</v>
      </c>
      <c r="I220" s="2">
        <v>200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1" t="s">
        <v>25</v>
      </c>
      <c r="Q220" s="1" t="s">
        <v>26</v>
      </c>
      <c r="R220" s="1" t="s">
        <v>645</v>
      </c>
      <c r="S220" s="1">
        <v>0</v>
      </c>
      <c r="T220" s="1">
        <v>0</v>
      </c>
      <c r="U220" s="1">
        <f t="shared" si="19"/>
        <v>0</v>
      </c>
      <c r="V220" s="1">
        <v>1</v>
      </c>
      <c r="W220" s="1">
        <f t="shared" si="20"/>
        <v>1</v>
      </c>
      <c r="X220" s="5" t="e">
        <f t="shared" si="18"/>
        <v>#DIV/0!</v>
      </c>
    </row>
    <row r="221" spans="1:24">
      <c r="A221" s="6">
        <v>46054</v>
      </c>
      <c r="B221" s="1" t="s">
        <v>18</v>
      </c>
      <c r="C221" s="1" t="s">
        <v>646</v>
      </c>
      <c r="D221" s="1" t="s">
        <v>651</v>
      </c>
      <c r="E221" s="1" t="s">
        <v>169</v>
      </c>
      <c r="F221" s="1" t="s">
        <v>649</v>
      </c>
      <c r="G221" s="1"/>
      <c r="H221" s="1" t="s">
        <v>24</v>
      </c>
      <c r="I221" s="2">
        <v>0.9</v>
      </c>
      <c r="J221" s="2">
        <v>331184</v>
      </c>
      <c r="K221" s="2">
        <v>0</v>
      </c>
      <c r="L221" s="2">
        <v>0</v>
      </c>
      <c r="M221" s="2">
        <v>0</v>
      </c>
      <c r="N221" s="2">
        <v>100</v>
      </c>
      <c r="O221" s="2">
        <v>331284</v>
      </c>
      <c r="P221" s="1" t="s">
        <v>650</v>
      </c>
      <c r="Q221" s="1" t="s">
        <v>26</v>
      </c>
      <c r="R221" s="1" t="s">
        <v>44</v>
      </c>
      <c r="S221" s="1">
        <v>0</v>
      </c>
      <c r="T221" s="1">
        <v>1</v>
      </c>
      <c r="U221" s="1">
        <f t="shared" si="19"/>
        <v>1</v>
      </c>
      <c r="V221" s="1">
        <v>0</v>
      </c>
      <c r="W221" s="1">
        <f t="shared" si="20"/>
        <v>1</v>
      </c>
      <c r="X221" s="5">
        <f t="shared" si="18"/>
        <v>0</v>
      </c>
    </row>
    <row r="222" spans="1:24" ht="15" customHeight="1">
      <c r="A222" s="6">
        <v>46054</v>
      </c>
      <c r="B222" s="1" t="s">
        <v>18</v>
      </c>
      <c r="C222" s="1" t="s">
        <v>646</v>
      </c>
      <c r="D222" s="1" t="s">
        <v>661</v>
      </c>
      <c r="E222" s="1" t="s">
        <v>662</v>
      </c>
      <c r="F222" s="1" t="s">
        <v>663</v>
      </c>
      <c r="G222" s="1" t="s">
        <v>649</v>
      </c>
      <c r="H222" s="1" t="s">
        <v>24</v>
      </c>
      <c r="I222" s="2">
        <v>0.98</v>
      </c>
      <c r="J222" s="2">
        <v>530487.30000000005</v>
      </c>
      <c r="K222" s="2">
        <v>134</v>
      </c>
      <c r="L222" s="2">
        <v>0</v>
      </c>
      <c r="M222" s="2">
        <v>0</v>
      </c>
      <c r="N222" s="2">
        <v>100</v>
      </c>
      <c r="O222" s="2">
        <v>530721.30000000005</v>
      </c>
      <c r="P222" s="1" t="s">
        <v>650</v>
      </c>
      <c r="Q222" s="1" t="s">
        <v>26</v>
      </c>
      <c r="R222" s="1" t="s">
        <v>44</v>
      </c>
      <c r="S222" s="1">
        <v>0</v>
      </c>
      <c r="T222" s="1">
        <v>1</v>
      </c>
      <c r="U222" s="1">
        <f t="shared" si="19"/>
        <v>1</v>
      </c>
      <c r="V222" s="1">
        <v>0</v>
      </c>
      <c r="W222" s="1">
        <f t="shared" si="20"/>
        <v>1</v>
      </c>
      <c r="X222" s="5">
        <f t="shared" si="18"/>
        <v>0</v>
      </c>
    </row>
    <row r="223" spans="1:24">
      <c r="A223" s="6">
        <v>46054</v>
      </c>
      <c r="B223" s="1" t="s">
        <v>49</v>
      </c>
      <c r="C223" s="1" t="s">
        <v>646</v>
      </c>
      <c r="D223" s="1" t="s">
        <v>664</v>
      </c>
      <c r="E223" s="1" t="s">
        <v>169</v>
      </c>
      <c r="F223" s="1" t="s">
        <v>665</v>
      </c>
      <c r="G223" s="1" t="s">
        <v>649</v>
      </c>
      <c r="H223" s="1" t="s">
        <v>54</v>
      </c>
      <c r="I223" s="2">
        <v>45</v>
      </c>
      <c r="J223" s="2">
        <v>5053391</v>
      </c>
      <c r="K223" s="2">
        <v>3054</v>
      </c>
      <c r="L223" s="2">
        <v>0</v>
      </c>
      <c r="M223" s="2">
        <v>0</v>
      </c>
      <c r="N223" s="2">
        <v>390</v>
      </c>
      <c r="O223" s="2">
        <v>5056835</v>
      </c>
      <c r="P223" s="1" t="s">
        <v>650</v>
      </c>
      <c r="Q223" s="1" t="s">
        <v>35</v>
      </c>
      <c r="R223" s="1" t="s">
        <v>666</v>
      </c>
      <c r="S223" s="1">
        <v>0</v>
      </c>
      <c r="T223" s="1">
        <v>1</v>
      </c>
      <c r="U223" s="1">
        <f t="shared" si="19"/>
        <v>1</v>
      </c>
      <c r="V223" s="1">
        <v>0</v>
      </c>
      <c r="W223" s="1">
        <f t="shared" si="20"/>
        <v>1</v>
      </c>
      <c r="X223" s="5">
        <f t="shared" si="18"/>
        <v>0</v>
      </c>
    </row>
    <row r="224" spans="1:24">
      <c r="A224" s="6">
        <v>46054</v>
      </c>
      <c r="B224" s="1" t="s">
        <v>61</v>
      </c>
      <c r="C224" s="1" t="s">
        <v>646</v>
      </c>
      <c r="D224" s="1" t="s">
        <v>647</v>
      </c>
      <c r="E224" s="1" t="s">
        <v>648</v>
      </c>
      <c r="F224" s="1" t="s">
        <v>649</v>
      </c>
      <c r="G224" s="1" t="s">
        <v>649</v>
      </c>
      <c r="H224" s="1" t="s">
        <v>24</v>
      </c>
      <c r="I224" s="2">
        <v>0.8</v>
      </c>
      <c r="J224" s="2">
        <v>1056772.3400000001</v>
      </c>
      <c r="K224" s="2">
        <v>1606</v>
      </c>
      <c r="L224" s="2">
        <v>0</v>
      </c>
      <c r="M224" s="2">
        <v>0</v>
      </c>
      <c r="N224" s="2">
        <v>150</v>
      </c>
      <c r="O224" s="2">
        <v>1058528.3400000001</v>
      </c>
      <c r="P224" s="1" t="s">
        <v>650</v>
      </c>
      <c r="Q224" s="1" t="s">
        <v>35</v>
      </c>
      <c r="R224" s="1" t="s">
        <v>44</v>
      </c>
      <c r="S224" s="1">
        <v>0</v>
      </c>
      <c r="T224" s="1">
        <v>1</v>
      </c>
      <c r="U224" s="1">
        <f t="shared" si="19"/>
        <v>1</v>
      </c>
      <c r="V224" s="1">
        <v>0</v>
      </c>
      <c r="W224" s="1">
        <f t="shared" si="20"/>
        <v>1</v>
      </c>
      <c r="X224" s="5">
        <f t="shared" si="18"/>
        <v>0</v>
      </c>
    </row>
    <row r="225" spans="1:24" ht="15" customHeight="1">
      <c r="A225" s="6">
        <v>46054</v>
      </c>
      <c r="B225" s="1" t="s">
        <v>61</v>
      </c>
      <c r="C225" s="1" t="s">
        <v>646</v>
      </c>
      <c r="D225" s="1" t="s">
        <v>652</v>
      </c>
      <c r="E225" s="1" t="s">
        <v>653</v>
      </c>
      <c r="F225" s="1" t="s">
        <v>654</v>
      </c>
      <c r="G225" s="1"/>
      <c r="H225" s="1" t="s">
        <v>24</v>
      </c>
      <c r="I225" s="2">
        <v>0.7</v>
      </c>
      <c r="J225" s="2">
        <v>360555.37</v>
      </c>
      <c r="K225" s="2">
        <v>1313</v>
      </c>
      <c r="L225" s="2">
        <v>0</v>
      </c>
      <c r="M225" s="2">
        <v>0</v>
      </c>
      <c r="N225" s="2">
        <v>150</v>
      </c>
      <c r="O225" s="2">
        <v>362018.37</v>
      </c>
      <c r="P225" s="1" t="s">
        <v>650</v>
      </c>
      <c r="Q225" s="1" t="s">
        <v>35</v>
      </c>
      <c r="R225" s="1" t="s">
        <v>44</v>
      </c>
      <c r="S225" s="1">
        <v>1</v>
      </c>
      <c r="T225" s="1">
        <v>0</v>
      </c>
      <c r="U225" s="1">
        <f t="shared" si="19"/>
        <v>1</v>
      </c>
      <c r="V225" s="1">
        <v>0</v>
      </c>
      <c r="W225" s="1">
        <f t="shared" si="20"/>
        <v>1</v>
      </c>
      <c r="X225" s="5">
        <f t="shared" si="18"/>
        <v>100</v>
      </c>
    </row>
    <row r="226" spans="1:24" ht="15" customHeight="1">
      <c r="A226" s="6">
        <v>46054</v>
      </c>
      <c r="B226" s="1" t="s">
        <v>61</v>
      </c>
      <c r="C226" s="1" t="s">
        <v>646</v>
      </c>
      <c r="D226" s="1" t="s">
        <v>655</v>
      </c>
      <c r="E226" s="1" t="s">
        <v>656</v>
      </c>
      <c r="F226" s="1" t="s">
        <v>649</v>
      </c>
      <c r="G226" s="1"/>
      <c r="H226" s="1" t="s">
        <v>24</v>
      </c>
      <c r="I226" s="2">
        <v>0.9</v>
      </c>
      <c r="J226" s="2">
        <v>457723.03</v>
      </c>
      <c r="K226" s="2">
        <v>1430</v>
      </c>
      <c r="L226" s="2">
        <v>0</v>
      </c>
      <c r="M226" s="2">
        <v>0</v>
      </c>
      <c r="N226" s="2">
        <v>150</v>
      </c>
      <c r="O226" s="2">
        <v>459303.03</v>
      </c>
      <c r="P226" s="1" t="s">
        <v>650</v>
      </c>
      <c r="Q226" s="1" t="s">
        <v>35</v>
      </c>
      <c r="R226" s="1" t="s">
        <v>44</v>
      </c>
      <c r="S226" s="1">
        <v>1</v>
      </c>
      <c r="T226" s="1">
        <v>0</v>
      </c>
      <c r="U226" s="1">
        <f t="shared" si="19"/>
        <v>1</v>
      </c>
      <c r="V226" s="1">
        <v>0</v>
      </c>
      <c r="W226" s="1">
        <f t="shared" si="20"/>
        <v>1</v>
      </c>
      <c r="X226" s="5">
        <f t="shared" si="18"/>
        <v>100</v>
      </c>
    </row>
    <row r="227" spans="1:24">
      <c r="A227" s="6">
        <v>46054</v>
      </c>
      <c r="B227" s="1" t="s">
        <v>61</v>
      </c>
      <c r="C227" s="1" t="s">
        <v>646</v>
      </c>
      <c r="D227" s="1" t="s">
        <v>657</v>
      </c>
      <c r="E227" s="1" t="s">
        <v>658</v>
      </c>
      <c r="F227" s="1" t="s">
        <v>649</v>
      </c>
      <c r="G227" s="1"/>
      <c r="H227" s="1" t="s">
        <v>24</v>
      </c>
      <c r="I227" s="2">
        <v>0.9</v>
      </c>
      <c r="J227" s="2">
        <v>1319248</v>
      </c>
      <c r="K227" s="2">
        <v>1253</v>
      </c>
      <c r="L227" s="2">
        <v>0</v>
      </c>
      <c r="M227" s="2">
        <v>0</v>
      </c>
      <c r="N227" s="2">
        <v>150</v>
      </c>
      <c r="O227" s="2">
        <v>1320651</v>
      </c>
      <c r="P227" s="1" t="s">
        <v>650</v>
      </c>
      <c r="Q227" s="1" t="s">
        <v>35</v>
      </c>
      <c r="R227" s="1" t="s">
        <v>44</v>
      </c>
      <c r="S227" s="1">
        <v>0</v>
      </c>
      <c r="T227" s="1">
        <v>1</v>
      </c>
      <c r="U227" s="1">
        <f t="shared" si="19"/>
        <v>1</v>
      </c>
      <c r="V227" s="1">
        <v>0</v>
      </c>
      <c r="W227" s="1">
        <f t="shared" si="20"/>
        <v>1</v>
      </c>
      <c r="X227" s="5">
        <f t="shared" si="18"/>
        <v>0</v>
      </c>
    </row>
    <row r="228" spans="1:24" ht="15" customHeight="1">
      <c r="A228" s="6">
        <v>46054</v>
      </c>
      <c r="B228" s="1" t="s">
        <v>61</v>
      </c>
      <c r="C228" s="1" t="s">
        <v>646</v>
      </c>
      <c r="D228" s="1" t="s">
        <v>659</v>
      </c>
      <c r="E228" s="1" t="s">
        <v>276</v>
      </c>
      <c r="F228" s="1" t="s">
        <v>660</v>
      </c>
      <c r="G228" s="1" t="s">
        <v>649</v>
      </c>
      <c r="H228" s="1" t="s">
        <v>24</v>
      </c>
      <c r="I228" s="2">
        <v>3</v>
      </c>
      <c r="J228" s="2">
        <v>532317.99</v>
      </c>
      <c r="K228" s="2">
        <v>1278</v>
      </c>
      <c r="L228" s="2">
        <v>0</v>
      </c>
      <c r="M228" s="2">
        <v>0</v>
      </c>
      <c r="N228" s="2">
        <v>150</v>
      </c>
      <c r="O228" s="2">
        <v>533745.99</v>
      </c>
      <c r="P228" s="1" t="s">
        <v>650</v>
      </c>
      <c r="Q228" s="1" t="s">
        <v>35</v>
      </c>
      <c r="R228" s="1" t="s">
        <v>44</v>
      </c>
      <c r="S228" s="1">
        <v>0</v>
      </c>
      <c r="T228" s="1">
        <v>1</v>
      </c>
      <c r="U228" s="1">
        <f t="shared" si="19"/>
        <v>1</v>
      </c>
      <c r="V228" s="1">
        <v>0</v>
      </c>
      <c r="W228" s="1">
        <f t="shared" si="20"/>
        <v>1</v>
      </c>
      <c r="X228" s="5">
        <f t="shared" si="18"/>
        <v>0</v>
      </c>
    </row>
    <row r="229" spans="1:24">
      <c r="A229" s="6">
        <v>46054</v>
      </c>
      <c r="B229" s="1" t="s">
        <v>61</v>
      </c>
      <c r="C229" s="1" t="s">
        <v>646</v>
      </c>
      <c r="D229" s="1" t="s">
        <v>667</v>
      </c>
      <c r="E229" s="1" t="s">
        <v>668</v>
      </c>
      <c r="F229" s="1" t="s">
        <v>669</v>
      </c>
      <c r="G229" s="1" t="s">
        <v>670</v>
      </c>
      <c r="H229" s="1" t="s">
        <v>24</v>
      </c>
      <c r="I229" s="2">
        <v>14.92</v>
      </c>
      <c r="J229" s="2">
        <v>7955144</v>
      </c>
      <c r="K229" s="2">
        <v>1180</v>
      </c>
      <c r="L229" s="2">
        <v>0</v>
      </c>
      <c r="M229" s="2">
        <v>0</v>
      </c>
      <c r="N229" s="2">
        <v>50</v>
      </c>
      <c r="O229" s="2">
        <v>7956374</v>
      </c>
      <c r="P229" s="1" t="s">
        <v>650</v>
      </c>
      <c r="Q229" s="1" t="s">
        <v>35</v>
      </c>
      <c r="R229" s="1" t="s">
        <v>527</v>
      </c>
      <c r="S229" s="1">
        <v>0</v>
      </c>
      <c r="T229" s="1">
        <v>1</v>
      </c>
      <c r="U229" s="1">
        <f t="shared" si="19"/>
        <v>1</v>
      </c>
      <c r="V229" s="1">
        <v>0</v>
      </c>
      <c r="W229" s="1">
        <f t="shared" si="20"/>
        <v>1</v>
      </c>
      <c r="X229" s="5">
        <f t="shared" si="18"/>
        <v>0</v>
      </c>
    </row>
    <row r="230" spans="1:24">
      <c r="A230" s="6">
        <v>46054</v>
      </c>
      <c r="B230" s="1" t="s">
        <v>18</v>
      </c>
      <c r="C230" s="1" t="s">
        <v>671</v>
      </c>
      <c r="D230" s="1" t="s">
        <v>672</v>
      </c>
      <c r="E230" s="1" t="s">
        <v>673</v>
      </c>
      <c r="F230" s="1" t="s">
        <v>674</v>
      </c>
      <c r="G230" s="1" t="s">
        <v>675</v>
      </c>
      <c r="H230" s="1" t="s">
        <v>60</v>
      </c>
      <c r="I230" s="2">
        <v>1</v>
      </c>
      <c r="J230" s="2">
        <v>55799</v>
      </c>
      <c r="K230" s="2">
        <v>4826</v>
      </c>
      <c r="L230" s="2">
        <v>0</v>
      </c>
      <c r="M230" s="2">
        <v>0</v>
      </c>
      <c r="N230" s="2">
        <v>314</v>
      </c>
      <c r="O230" s="2">
        <v>60939</v>
      </c>
      <c r="P230" s="1" t="s">
        <v>650</v>
      </c>
      <c r="Q230" s="1" t="s">
        <v>35</v>
      </c>
      <c r="R230" s="1" t="s">
        <v>44</v>
      </c>
      <c r="S230" s="1">
        <v>0</v>
      </c>
      <c r="T230" s="1">
        <v>1</v>
      </c>
      <c r="U230" s="1">
        <f t="shared" si="19"/>
        <v>1</v>
      </c>
      <c r="V230" s="1">
        <v>0</v>
      </c>
      <c r="W230" s="1">
        <f t="shared" si="20"/>
        <v>1</v>
      </c>
      <c r="X230" s="5">
        <f t="shared" si="18"/>
        <v>0</v>
      </c>
    </row>
    <row r="231" spans="1:24" ht="15" customHeight="1">
      <c r="A231" s="6">
        <v>46054</v>
      </c>
      <c r="B231" s="1" t="s">
        <v>18</v>
      </c>
      <c r="C231" s="1" t="s">
        <v>676</v>
      </c>
      <c r="D231" s="1" t="s">
        <v>677</v>
      </c>
      <c r="E231" s="1" t="s">
        <v>678</v>
      </c>
      <c r="F231" s="1" t="s">
        <v>679</v>
      </c>
      <c r="G231" s="1" t="s">
        <v>680</v>
      </c>
      <c r="H231" s="1" t="s">
        <v>24</v>
      </c>
      <c r="I231" s="2">
        <v>11</v>
      </c>
      <c r="J231" s="2">
        <v>20163528.059999999</v>
      </c>
      <c r="K231" s="2">
        <v>3527</v>
      </c>
      <c r="L231" s="2">
        <v>0</v>
      </c>
      <c r="M231" s="2">
        <v>0</v>
      </c>
      <c r="N231" s="2">
        <v>32328</v>
      </c>
      <c r="O231" s="2">
        <v>20199383.059999999</v>
      </c>
      <c r="P231" s="1" t="s">
        <v>650</v>
      </c>
      <c r="Q231" s="1" t="s">
        <v>35</v>
      </c>
      <c r="R231" s="1" t="s">
        <v>44</v>
      </c>
      <c r="S231" s="1">
        <v>0</v>
      </c>
      <c r="T231" s="1">
        <v>1</v>
      </c>
      <c r="U231" s="1">
        <f t="shared" ref="U231:U232" si="21">T231+S231</f>
        <v>1</v>
      </c>
      <c r="V231" s="1">
        <v>0</v>
      </c>
      <c r="W231" s="1">
        <f t="shared" si="20"/>
        <v>1</v>
      </c>
      <c r="X231" s="5">
        <f t="shared" si="18"/>
        <v>0</v>
      </c>
    </row>
    <row r="232" spans="1:24" ht="15" customHeight="1">
      <c r="A232" s="6">
        <v>46054</v>
      </c>
      <c r="B232" s="1" t="s">
        <v>18</v>
      </c>
      <c r="C232" s="1" t="s">
        <v>676</v>
      </c>
      <c r="D232" s="1" t="s">
        <v>681</v>
      </c>
      <c r="E232" s="1" t="s">
        <v>682</v>
      </c>
      <c r="F232" s="1" t="s">
        <v>683</v>
      </c>
      <c r="G232" s="1"/>
      <c r="H232" s="1" t="s">
        <v>60</v>
      </c>
      <c r="I232" s="2">
        <v>0.4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1" t="s">
        <v>650</v>
      </c>
      <c r="Q232" s="1" t="s">
        <v>26</v>
      </c>
      <c r="R232" s="1" t="s">
        <v>44</v>
      </c>
      <c r="S232" s="1">
        <v>0</v>
      </c>
      <c r="T232" s="1">
        <v>0</v>
      </c>
      <c r="U232" s="1">
        <f t="shared" si="21"/>
        <v>0</v>
      </c>
      <c r="V232" s="1">
        <v>1</v>
      </c>
      <c r="W232" s="1">
        <f t="shared" si="20"/>
        <v>1</v>
      </c>
      <c r="X232" s="5" t="e">
        <f t="shared" si="18"/>
        <v>#DIV/0!</v>
      </c>
    </row>
    <row r="233" spans="1:24">
      <c r="A233" s="6">
        <v>46054</v>
      </c>
      <c r="B233" s="1" t="s">
        <v>18</v>
      </c>
      <c r="C233" s="1" t="s">
        <v>676</v>
      </c>
      <c r="D233" s="1" t="s">
        <v>684</v>
      </c>
      <c r="E233" s="1" t="s">
        <v>169</v>
      </c>
      <c r="F233" s="1" t="s">
        <v>685</v>
      </c>
      <c r="G233" s="1" t="s">
        <v>686</v>
      </c>
      <c r="H233" s="1" t="s">
        <v>24</v>
      </c>
      <c r="I233" s="2">
        <v>1</v>
      </c>
      <c r="J233" s="2">
        <v>34627296</v>
      </c>
      <c r="K233" s="2">
        <v>12347</v>
      </c>
      <c r="L233" s="2">
        <v>0</v>
      </c>
      <c r="M233" s="2">
        <v>0</v>
      </c>
      <c r="N233" s="2">
        <v>1022</v>
      </c>
      <c r="O233" s="2">
        <v>34640665</v>
      </c>
      <c r="P233" s="1" t="s">
        <v>650</v>
      </c>
      <c r="Q233" s="1" t="s">
        <v>35</v>
      </c>
      <c r="R233" s="1" t="s">
        <v>44</v>
      </c>
      <c r="S233" s="1">
        <v>0</v>
      </c>
      <c r="T233" s="1">
        <v>1</v>
      </c>
      <c r="U233" s="1">
        <f t="shared" si="19"/>
        <v>1</v>
      </c>
      <c r="V233" s="1">
        <v>0</v>
      </c>
      <c r="W233" s="1">
        <f t="shared" si="20"/>
        <v>1</v>
      </c>
      <c r="X233" s="5">
        <f t="shared" si="18"/>
        <v>0</v>
      </c>
    </row>
    <row r="234" spans="1:24">
      <c r="A234" s="6">
        <v>46054</v>
      </c>
      <c r="B234" s="1" t="s">
        <v>49</v>
      </c>
      <c r="C234" s="1" t="s">
        <v>676</v>
      </c>
      <c r="D234" s="1" t="s">
        <v>687</v>
      </c>
      <c r="E234" s="1" t="s">
        <v>688</v>
      </c>
      <c r="F234" s="1" t="s">
        <v>689</v>
      </c>
      <c r="G234" s="1"/>
      <c r="H234" s="1" t="s">
        <v>54</v>
      </c>
      <c r="I234" s="2">
        <v>0.75</v>
      </c>
      <c r="J234" s="2">
        <v>112067188</v>
      </c>
      <c r="K234" s="2">
        <v>1394228</v>
      </c>
      <c r="L234" s="2">
        <v>0</v>
      </c>
      <c r="M234" s="2">
        <v>0</v>
      </c>
      <c r="N234" s="2">
        <v>187042</v>
      </c>
      <c r="O234" s="2">
        <v>113648458</v>
      </c>
      <c r="P234" s="1" t="s">
        <v>650</v>
      </c>
      <c r="Q234" s="1" t="s">
        <v>35</v>
      </c>
      <c r="R234" s="1" t="s">
        <v>55</v>
      </c>
      <c r="S234" s="1">
        <v>0</v>
      </c>
      <c r="T234" s="1">
        <v>1</v>
      </c>
      <c r="U234" s="1">
        <f t="shared" si="19"/>
        <v>1</v>
      </c>
      <c r="V234" s="1">
        <v>0</v>
      </c>
      <c r="W234" s="1">
        <f t="shared" si="20"/>
        <v>1</v>
      </c>
      <c r="X234" s="5">
        <f t="shared" si="18"/>
        <v>0</v>
      </c>
    </row>
    <row r="235" spans="1:24">
      <c r="A235" s="6">
        <v>46054</v>
      </c>
      <c r="B235" s="1" t="s">
        <v>49</v>
      </c>
      <c r="C235" s="1" t="s">
        <v>676</v>
      </c>
      <c r="D235" s="1" t="s">
        <v>690</v>
      </c>
      <c r="E235" s="1" t="s">
        <v>169</v>
      </c>
      <c r="F235" s="1" t="s">
        <v>683</v>
      </c>
      <c r="G235" s="1" t="s">
        <v>683</v>
      </c>
      <c r="H235" s="1" t="s">
        <v>54</v>
      </c>
      <c r="I235" s="2">
        <v>2</v>
      </c>
      <c r="J235" s="2">
        <v>112142872</v>
      </c>
      <c r="K235" s="2">
        <v>1401721</v>
      </c>
      <c r="L235" s="2">
        <v>0</v>
      </c>
      <c r="M235" s="2">
        <v>0</v>
      </c>
      <c r="N235" s="2">
        <v>185138</v>
      </c>
      <c r="O235" s="2">
        <v>113729731</v>
      </c>
      <c r="P235" s="1" t="s">
        <v>650</v>
      </c>
      <c r="Q235" s="1" t="s">
        <v>35</v>
      </c>
      <c r="R235" s="1" t="s">
        <v>55</v>
      </c>
      <c r="S235" s="1">
        <v>0</v>
      </c>
      <c r="T235" s="1">
        <v>1</v>
      </c>
      <c r="U235" s="1">
        <f t="shared" si="19"/>
        <v>1</v>
      </c>
      <c r="V235" s="1">
        <v>0</v>
      </c>
      <c r="W235" s="1">
        <f t="shared" si="20"/>
        <v>1</v>
      </c>
      <c r="X235" s="5">
        <f t="shared" si="18"/>
        <v>0</v>
      </c>
    </row>
    <row r="236" spans="1:24">
      <c r="A236" s="6">
        <v>46054</v>
      </c>
      <c r="B236" s="1" t="s">
        <v>61</v>
      </c>
      <c r="C236" s="1" t="s">
        <v>676</v>
      </c>
      <c r="D236" s="1" t="s">
        <v>691</v>
      </c>
      <c r="E236" s="1" t="s">
        <v>169</v>
      </c>
      <c r="F236" s="1" t="s">
        <v>683</v>
      </c>
      <c r="G236" s="1"/>
      <c r="H236" s="1" t="s">
        <v>54</v>
      </c>
      <c r="I236" s="2">
        <v>2</v>
      </c>
      <c r="J236" s="2">
        <v>85907597</v>
      </c>
      <c r="K236" s="2">
        <v>1386184</v>
      </c>
      <c r="L236" s="2">
        <v>0</v>
      </c>
      <c r="M236" s="2">
        <v>0</v>
      </c>
      <c r="N236" s="2">
        <v>58711</v>
      </c>
      <c r="O236" s="2">
        <v>87352492</v>
      </c>
      <c r="P236" s="1" t="s">
        <v>650</v>
      </c>
      <c r="Q236" s="1" t="s">
        <v>35</v>
      </c>
      <c r="R236" s="1" t="s">
        <v>55</v>
      </c>
      <c r="S236" s="1">
        <v>0</v>
      </c>
      <c r="T236" s="1">
        <v>1</v>
      </c>
      <c r="U236" s="1">
        <f t="shared" si="19"/>
        <v>1</v>
      </c>
      <c r="V236" s="1">
        <v>0</v>
      </c>
      <c r="W236" s="1">
        <f t="shared" si="20"/>
        <v>1</v>
      </c>
      <c r="X236" s="5">
        <f t="shared" si="18"/>
        <v>0</v>
      </c>
    </row>
    <row r="237" spans="1:24">
      <c r="A237" s="6">
        <v>46054</v>
      </c>
      <c r="B237" s="1" t="s">
        <v>61</v>
      </c>
      <c r="C237" s="1" t="s">
        <v>676</v>
      </c>
      <c r="D237" s="1" t="s">
        <v>692</v>
      </c>
      <c r="E237" s="1" t="s">
        <v>169</v>
      </c>
      <c r="F237" s="1" t="s">
        <v>683</v>
      </c>
      <c r="G237" s="1" t="s">
        <v>683</v>
      </c>
      <c r="H237" s="1" t="s">
        <v>54</v>
      </c>
      <c r="I237" s="2">
        <v>2</v>
      </c>
      <c r="J237" s="2">
        <v>94682619</v>
      </c>
      <c r="K237" s="2">
        <v>2007487</v>
      </c>
      <c r="L237" s="2">
        <v>0</v>
      </c>
      <c r="M237" s="2">
        <v>0</v>
      </c>
      <c r="N237" s="2">
        <v>85041</v>
      </c>
      <c r="O237" s="2">
        <v>96775147</v>
      </c>
      <c r="P237" s="1" t="s">
        <v>650</v>
      </c>
      <c r="Q237" s="1" t="s">
        <v>35</v>
      </c>
      <c r="R237" s="1" t="s">
        <v>55</v>
      </c>
      <c r="S237" s="1">
        <v>0</v>
      </c>
      <c r="T237" s="1">
        <v>1</v>
      </c>
      <c r="U237" s="1">
        <f t="shared" si="19"/>
        <v>1</v>
      </c>
      <c r="V237" s="1">
        <v>0</v>
      </c>
      <c r="W237" s="1">
        <f t="shared" si="20"/>
        <v>1</v>
      </c>
      <c r="X237" s="5">
        <f t="shared" si="18"/>
        <v>0</v>
      </c>
    </row>
    <row r="238" spans="1:24" ht="15" customHeight="1">
      <c r="A238" s="6">
        <v>46054</v>
      </c>
      <c r="B238" s="1" t="s">
        <v>61</v>
      </c>
      <c r="C238" s="1" t="s">
        <v>676</v>
      </c>
      <c r="D238" s="1" t="s">
        <v>693</v>
      </c>
      <c r="E238" s="1" t="s">
        <v>169</v>
      </c>
      <c r="F238" s="1" t="s">
        <v>683</v>
      </c>
      <c r="G238" s="1"/>
      <c r="H238" s="1" t="s">
        <v>54</v>
      </c>
      <c r="I238" s="2">
        <v>2</v>
      </c>
      <c r="J238" s="2">
        <v>99954567</v>
      </c>
      <c r="K238" s="2">
        <v>1459101</v>
      </c>
      <c r="L238" s="2">
        <v>0</v>
      </c>
      <c r="M238" s="2">
        <v>0</v>
      </c>
      <c r="N238" s="2">
        <v>61802</v>
      </c>
      <c r="O238" s="2">
        <v>101475470</v>
      </c>
      <c r="P238" s="1" t="s">
        <v>694</v>
      </c>
      <c r="Q238" s="1" t="s">
        <v>35</v>
      </c>
      <c r="R238" s="1" t="s">
        <v>55</v>
      </c>
      <c r="S238" s="1">
        <v>0</v>
      </c>
      <c r="T238" s="1">
        <v>1</v>
      </c>
      <c r="U238" s="1">
        <f t="shared" si="19"/>
        <v>1</v>
      </c>
      <c r="V238" s="1">
        <v>0</v>
      </c>
      <c r="W238" s="1">
        <f t="shared" si="20"/>
        <v>1</v>
      </c>
      <c r="X238" s="5">
        <f t="shared" si="18"/>
        <v>0</v>
      </c>
    </row>
    <row r="239" spans="1:24" ht="15" customHeight="1">
      <c r="A239" s="6">
        <v>46054</v>
      </c>
      <c r="B239" s="1" t="s">
        <v>18</v>
      </c>
      <c r="C239" s="1" t="s">
        <v>695</v>
      </c>
      <c r="D239" s="1" t="s">
        <v>696</v>
      </c>
      <c r="E239" s="1" t="s">
        <v>169</v>
      </c>
      <c r="F239" s="1" t="s">
        <v>697</v>
      </c>
      <c r="G239" s="1" t="s">
        <v>698</v>
      </c>
      <c r="H239" s="1" t="s">
        <v>54</v>
      </c>
      <c r="I239" s="2">
        <v>2</v>
      </c>
      <c r="J239" s="2">
        <v>2189708.2200000002</v>
      </c>
      <c r="K239" s="2">
        <v>173684</v>
      </c>
      <c r="L239" s="2">
        <v>0</v>
      </c>
      <c r="M239" s="2">
        <v>0</v>
      </c>
      <c r="N239" s="2">
        <v>16702</v>
      </c>
      <c r="O239" s="2">
        <v>2380094.2200000002</v>
      </c>
      <c r="P239" s="1" t="s">
        <v>650</v>
      </c>
      <c r="Q239" s="1" t="s">
        <v>35</v>
      </c>
      <c r="R239" s="1" t="s">
        <v>44</v>
      </c>
      <c r="S239" s="1">
        <v>0</v>
      </c>
      <c r="T239" s="1">
        <v>1</v>
      </c>
      <c r="U239" s="1">
        <f t="shared" si="19"/>
        <v>1</v>
      </c>
      <c r="V239" s="1">
        <v>0</v>
      </c>
      <c r="W239" s="1">
        <f t="shared" si="20"/>
        <v>1</v>
      </c>
      <c r="X239" s="5">
        <f t="shared" si="18"/>
        <v>0</v>
      </c>
    </row>
    <row r="240" spans="1:24" ht="15" customHeight="1">
      <c r="A240" s="6">
        <v>46054</v>
      </c>
      <c r="B240" s="1" t="s">
        <v>49</v>
      </c>
      <c r="C240" s="1" t="s">
        <v>695</v>
      </c>
      <c r="D240" s="1" t="s">
        <v>707</v>
      </c>
      <c r="E240" s="1" t="s">
        <v>708</v>
      </c>
      <c r="F240" s="1" t="s">
        <v>709</v>
      </c>
      <c r="G240" s="1" t="s">
        <v>702</v>
      </c>
      <c r="H240" s="1" t="s">
        <v>24</v>
      </c>
      <c r="I240" s="2">
        <v>29.84</v>
      </c>
      <c r="J240" s="2">
        <v>41411</v>
      </c>
      <c r="K240" s="2">
        <v>1180</v>
      </c>
      <c r="L240" s="2">
        <v>0</v>
      </c>
      <c r="M240" s="2">
        <v>0</v>
      </c>
      <c r="N240" s="2">
        <v>150</v>
      </c>
      <c r="O240" s="2">
        <v>42741</v>
      </c>
      <c r="P240" s="1" t="s">
        <v>650</v>
      </c>
      <c r="Q240" s="1" t="s">
        <v>35</v>
      </c>
      <c r="R240" s="1" t="s">
        <v>710</v>
      </c>
      <c r="S240" s="1">
        <v>1</v>
      </c>
      <c r="T240" s="1">
        <v>0</v>
      </c>
      <c r="U240" s="1">
        <f t="shared" si="19"/>
        <v>1</v>
      </c>
      <c r="V240" s="1">
        <v>0</v>
      </c>
      <c r="W240" s="1">
        <f t="shared" si="20"/>
        <v>1</v>
      </c>
      <c r="X240" s="5">
        <f t="shared" si="18"/>
        <v>100</v>
      </c>
    </row>
    <row r="241" spans="1:24" ht="15" customHeight="1">
      <c r="A241" s="6">
        <v>46054</v>
      </c>
      <c r="B241" s="1" t="s">
        <v>49</v>
      </c>
      <c r="C241" s="1" t="s">
        <v>695</v>
      </c>
      <c r="D241" s="1" t="s">
        <v>711</v>
      </c>
      <c r="E241" s="1" t="s">
        <v>169</v>
      </c>
      <c r="F241" s="1" t="s">
        <v>702</v>
      </c>
      <c r="G241" s="1" t="s">
        <v>702</v>
      </c>
      <c r="H241" s="1" t="s">
        <v>54</v>
      </c>
      <c r="I241" s="2">
        <v>200</v>
      </c>
      <c r="J241" s="2">
        <v>2718413</v>
      </c>
      <c r="K241" s="2">
        <v>2752</v>
      </c>
      <c r="L241" s="2">
        <v>0</v>
      </c>
      <c r="M241" s="2">
        <v>0</v>
      </c>
      <c r="N241" s="2">
        <v>11376</v>
      </c>
      <c r="O241" s="2">
        <v>2732541</v>
      </c>
      <c r="P241" s="1" t="s">
        <v>703</v>
      </c>
      <c r="Q241" s="1" t="s">
        <v>35</v>
      </c>
      <c r="R241" s="1" t="s">
        <v>66</v>
      </c>
      <c r="S241" s="1">
        <v>1</v>
      </c>
      <c r="T241" s="1">
        <v>0</v>
      </c>
      <c r="U241" s="1">
        <f t="shared" si="19"/>
        <v>1</v>
      </c>
      <c r="V241" s="1">
        <v>0</v>
      </c>
      <c r="W241" s="1">
        <f t="shared" si="20"/>
        <v>1</v>
      </c>
      <c r="X241" s="5">
        <f t="shared" si="18"/>
        <v>100</v>
      </c>
    </row>
    <row r="242" spans="1:24">
      <c r="A242" s="6">
        <v>46054</v>
      </c>
      <c r="B242" s="1" t="s">
        <v>61</v>
      </c>
      <c r="C242" s="1" t="s">
        <v>695</v>
      </c>
      <c r="D242" s="1" t="s">
        <v>699</v>
      </c>
      <c r="E242" s="1" t="s">
        <v>700</v>
      </c>
      <c r="F242" s="1" t="s">
        <v>701</v>
      </c>
      <c r="G242" s="1" t="s">
        <v>702</v>
      </c>
      <c r="H242" s="1" t="s">
        <v>24</v>
      </c>
      <c r="I242" s="2">
        <v>0.88</v>
      </c>
      <c r="J242" s="2">
        <v>186974</v>
      </c>
      <c r="K242" s="2">
        <v>1251</v>
      </c>
      <c r="L242" s="2">
        <v>0</v>
      </c>
      <c r="M242" s="2">
        <v>0</v>
      </c>
      <c r="N242" s="2">
        <v>150</v>
      </c>
      <c r="O242" s="2">
        <v>188375</v>
      </c>
      <c r="P242" s="1" t="s">
        <v>703</v>
      </c>
      <c r="Q242" s="1" t="s">
        <v>35</v>
      </c>
      <c r="R242" s="1" t="s">
        <v>66</v>
      </c>
      <c r="S242" s="1">
        <v>0</v>
      </c>
      <c r="T242" s="1">
        <v>1</v>
      </c>
      <c r="U242" s="1">
        <f t="shared" si="19"/>
        <v>1</v>
      </c>
      <c r="V242" s="1">
        <v>0</v>
      </c>
      <c r="W242" s="1">
        <f t="shared" si="20"/>
        <v>1</v>
      </c>
      <c r="X242" s="5">
        <f t="shared" si="18"/>
        <v>0</v>
      </c>
    </row>
    <row r="243" spans="1:24" ht="15" customHeight="1">
      <c r="A243" s="6">
        <v>46054</v>
      </c>
      <c r="B243" s="1" t="s">
        <v>61</v>
      </c>
      <c r="C243" s="1" t="s">
        <v>695</v>
      </c>
      <c r="D243" s="1" t="s">
        <v>704</v>
      </c>
      <c r="E243" s="1" t="s">
        <v>705</v>
      </c>
      <c r="F243" s="1" t="s">
        <v>706</v>
      </c>
      <c r="G243" s="1" t="s">
        <v>702</v>
      </c>
      <c r="H243" s="1" t="s">
        <v>24</v>
      </c>
      <c r="I243" s="2">
        <v>0.9</v>
      </c>
      <c r="J243" s="2">
        <v>306039.55</v>
      </c>
      <c r="K243" s="2">
        <v>1430</v>
      </c>
      <c r="L243" s="2">
        <v>0</v>
      </c>
      <c r="M243" s="2">
        <v>0</v>
      </c>
      <c r="N243" s="2">
        <v>150</v>
      </c>
      <c r="O243" s="2">
        <v>307619.55</v>
      </c>
      <c r="P243" s="1" t="s">
        <v>703</v>
      </c>
      <c r="Q243" s="1" t="s">
        <v>35</v>
      </c>
      <c r="R243" s="1" t="s">
        <v>66</v>
      </c>
      <c r="S243" s="1">
        <v>0</v>
      </c>
      <c r="T243" s="1">
        <v>1</v>
      </c>
      <c r="U243" s="1">
        <f t="shared" ref="U243:U244" si="22">T243+S243</f>
        <v>1</v>
      </c>
      <c r="V243" s="1">
        <v>0</v>
      </c>
      <c r="W243" s="1">
        <f t="shared" si="20"/>
        <v>1</v>
      </c>
      <c r="X243" s="5">
        <f t="shared" si="18"/>
        <v>0</v>
      </c>
    </row>
    <row r="244" spans="1:24" ht="15" customHeight="1">
      <c r="A244" s="6">
        <v>46054</v>
      </c>
      <c r="B244" s="1" t="s">
        <v>18</v>
      </c>
      <c r="C244" s="1" t="s">
        <v>712</v>
      </c>
      <c r="D244" s="1" t="s">
        <v>713</v>
      </c>
      <c r="E244" s="1" t="s">
        <v>169</v>
      </c>
      <c r="F244" s="1" t="s">
        <v>714</v>
      </c>
      <c r="G244" s="1"/>
      <c r="H244" s="1" t="s">
        <v>128</v>
      </c>
      <c r="I244" s="2">
        <v>2</v>
      </c>
      <c r="J244" s="2">
        <v>-22910</v>
      </c>
      <c r="K244" s="2">
        <v>0</v>
      </c>
      <c r="L244" s="2">
        <v>0</v>
      </c>
      <c r="M244" s="2">
        <v>0</v>
      </c>
      <c r="N244" s="2">
        <v>0</v>
      </c>
      <c r="O244" s="2">
        <v>-22910</v>
      </c>
      <c r="P244" s="1" t="s">
        <v>650</v>
      </c>
      <c r="Q244" s="1" t="s">
        <v>26</v>
      </c>
      <c r="R244" s="1" t="s">
        <v>44</v>
      </c>
      <c r="S244" s="1">
        <v>0</v>
      </c>
      <c r="T244" s="1">
        <v>0</v>
      </c>
      <c r="U244" s="1">
        <f t="shared" si="22"/>
        <v>0</v>
      </c>
      <c r="V244" s="1">
        <v>1</v>
      </c>
      <c r="W244" s="1">
        <f t="shared" si="20"/>
        <v>1</v>
      </c>
      <c r="X244" s="5" t="e">
        <f t="shared" si="18"/>
        <v>#DIV/0!</v>
      </c>
    </row>
    <row r="245" spans="1:24" ht="15" customHeight="1">
      <c r="A245" s="6">
        <v>46054</v>
      </c>
      <c r="B245" s="1" t="s">
        <v>18</v>
      </c>
      <c r="C245" s="1" t="s">
        <v>712</v>
      </c>
      <c r="D245" s="1" t="s">
        <v>715</v>
      </c>
      <c r="E245" s="1" t="s">
        <v>669</v>
      </c>
      <c r="F245" s="1" t="s">
        <v>716</v>
      </c>
      <c r="G245" s="1" t="s">
        <v>649</v>
      </c>
      <c r="H245" s="1" t="s">
        <v>24</v>
      </c>
      <c r="I245" s="2">
        <v>2.4</v>
      </c>
      <c r="J245" s="2">
        <v>979894.91</v>
      </c>
      <c r="K245" s="2">
        <v>31861</v>
      </c>
      <c r="L245" s="2">
        <v>0</v>
      </c>
      <c r="M245" s="2">
        <v>0</v>
      </c>
      <c r="N245" s="2">
        <v>6022</v>
      </c>
      <c r="O245" s="2">
        <v>1017777.91</v>
      </c>
      <c r="P245" s="1" t="s">
        <v>650</v>
      </c>
      <c r="Q245" s="1" t="s">
        <v>35</v>
      </c>
      <c r="R245" s="1" t="s">
        <v>44</v>
      </c>
      <c r="S245" s="1">
        <v>0</v>
      </c>
      <c r="T245" s="1">
        <v>1</v>
      </c>
      <c r="U245" s="1">
        <f t="shared" si="19"/>
        <v>1</v>
      </c>
      <c r="V245" s="1">
        <v>0</v>
      </c>
      <c r="W245" s="1">
        <f t="shared" si="20"/>
        <v>1</v>
      </c>
      <c r="X245" s="5">
        <f t="shared" si="18"/>
        <v>0</v>
      </c>
    </row>
    <row r="246" spans="1:24" ht="15" customHeight="1">
      <c r="A246" s="6">
        <v>46054</v>
      </c>
      <c r="B246" s="1" t="s">
        <v>18</v>
      </c>
      <c r="C246" s="1" t="s">
        <v>717</v>
      </c>
      <c r="D246" s="1" t="s">
        <v>718</v>
      </c>
      <c r="E246" s="1" t="s">
        <v>169</v>
      </c>
      <c r="F246" s="1" t="s">
        <v>719</v>
      </c>
      <c r="G246" s="1"/>
      <c r="H246" s="1" t="s">
        <v>24</v>
      </c>
      <c r="I246" s="2">
        <v>1</v>
      </c>
      <c r="J246" s="2">
        <v>48349</v>
      </c>
      <c r="K246" s="2">
        <v>0</v>
      </c>
      <c r="L246" s="2">
        <v>0</v>
      </c>
      <c r="M246" s="2">
        <v>0</v>
      </c>
      <c r="N246" s="2">
        <v>100</v>
      </c>
      <c r="O246" s="2">
        <v>48449</v>
      </c>
      <c r="P246" s="1" t="s">
        <v>720</v>
      </c>
      <c r="Q246" s="1" t="s">
        <v>26</v>
      </c>
      <c r="R246" s="1" t="s">
        <v>66</v>
      </c>
      <c r="S246" s="1">
        <v>1</v>
      </c>
      <c r="T246" s="1">
        <v>0</v>
      </c>
      <c r="U246" s="1">
        <f t="shared" si="19"/>
        <v>1</v>
      </c>
      <c r="V246" s="1">
        <v>0</v>
      </c>
      <c r="W246" s="1">
        <f t="shared" si="20"/>
        <v>1</v>
      </c>
      <c r="X246" s="5">
        <f t="shared" si="18"/>
        <v>100</v>
      </c>
    </row>
    <row r="247" spans="1:24" ht="15" customHeight="1">
      <c r="A247" s="6">
        <v>46054</v>
      </c>
      <c r="B247" s="1" t="s">
        <v>18</v>
      </c>
      <c r="C247" s="1" t="s">
        <v>717</v>
      </c>
      <c r="D247" s="1" t="s">
        <v>721</v>
      </c>
      <c r="E247" s="1" t="s">
        <v>722</v>
      </c>
      <c r="F247" s="1" t="s">
        <v>719</v>
      </c>
      <c r="G247" s="1"/>
      <c r="H247" s="1" t="s">
        <v>24</v>
      </c>
      <c r="I247" s="2">
        <v>1</v>
      </c>
      <c r="J247" s="2">
        <v>681310</v>
      </c>
      <c r="K247" s="2">
        <v>82016</v>
      </c>
      <c r="L247" s="2">
        <v>0</v>
      </c>
      <c r="M247" s="2">
        <v>0</v>
      </c>
      <c r="N247" s="2">
        <v>3420</v>
      </c>
      <c r="O247" s="2">
        <v>766746</v>
      </c>
      <c r="P247" s="1" t="s">
        <v>720</v>
      </c>
      <c r="Q247" s="1" t="s">
        <v>35</v>
      </c>
      <c r="R247" s="1" t="s">
        <v>66</v>
      </c>
      <c r="S247" s="1">
        <v>1</v>
      </c>
      <c r="T247" s="1">
        <v>0</v>
      </c>
      <c r="U247" s="1">
        <f t="shared" si="19"/>
        <v>1</v>
      </c>
      <c r="V247" s="1">
        <v>0</v>
      </c>
      <c r="W247" s="1">
        <f t="shared" si="20"/>
        <v>1</v>
      </c>
      <c r="X247" s="5">
        <f t="shared" si="18"/>
        <v>100</v>
      </c>
    </row>
    <row r="248" spans="1:24" ht="15" customHeight="1">
      <c r="A248" s="6">
        <v>46054</v>
      </c>
      <c r="B248" s="1" t="s">
        <v>49</v>
      </c>
      <c r="C248" s="1" t="s">
        <v>723</v>
      </c>
      <c r="D248" s="1" t="s">
        <v>724</v>
      </c>
      <c r="E248" s="1" t="s">
        <v>169</v>
      </c>
      <c r="F248" s="1" t="s">
        <v>725</v>
      </c>
      <c r="G248" s="1" t="s">
        <v>726</v>
      </c>
      <c r="H248" s="1" t="s">
        <v>24</v>
      </c>
      <c r="I248" s="2">
        <v>25</v>
      </c>
      <c r="J248" s="2">
        <v>10900220</v>
      </c>
      <c r="K248" s="2">
        <v>76376</v>
      </c>
      <c r="L248" s="2">
        <v>0</v>
      </c>
      <c r="M248" s="2">
        <v>0</v>
      </c>
      <c r="N248" s="2">
        <v>10983</v>
      </c>
      <c r="O248" s="2">
        <v>10987579</v>
      </c>
      <c r="P248" s="1" t="s">
        <v>727</v>
      </c>
      <c r="Q248" s="1" t="s">
        <v>35</v>
      </c>
      <c r="R248" s="1" t="s">
        <v>371</v>
      </c>
      <c r="S248" s="1">
        <v>0</v>
      </c>
      <c r="T248" s="1">
        <v>1</v>
      </c>
      <c r="U248" s="1">
        <f t="shared" si="19"/>
        <v>1</v>
      </c>
      <c r="V248" s="1">
        <v>0</v>
      </c>
      <c r="W248" s="1">
        <f t="shared" si="20"/>
        <v>1</v>
      </c>
      <c r="X248" s="5">
        <f t="shared" si="18"/>
        <v>0</v>
      </c>
    </row>
    <row r="249" spans="1:24" ht="15" customHeight="1">
      <c r="A249" s="6">
        <v>46054</v>
      </c>
      <c r="B249" s="1" t="s">
        <v>18</v>
      </c>
      <c r="C249" s="1" t="s">
        <v>728</v>
      </c>
      <c r="D249" s="1" t="s">
        <v>729</v>
      </c>
      <c r="E249" s="1" t="s">
        <v>169</v>
      </c>
      <c r="F249" s="1" t="s">
        <v>730</v>
      </c>
      <c r="G249" s="1"/>
      <c r="H249" s="1" t="s">
        <v>24</v>
      </c>
      <c r="I249" s="2">
        <v>1</v>
      </c>
      <c r="J249" s="2">
        <v>31029</v>
      </c>
      <c r="K249" s="2">
        <v>0</v>
      </c>
      <c r="L249" s="2">
        <v>0</v>
      </c>
      <c r="M249" s="2">
        <v>0</v>
      </c>
      <c r="N249" s="2">
        <v>100</v>
      </c>
      <c r="O249" s="2">
        <v>31129</v>
      </c>
      <c r="P249" s="1" t="s">
        <v>731</v>
      </c>
      <c r="Q249" s="1" t="s">
        <v>26</v>
      </c>
      <c r="R249" s="1" t="s">
        <v>732</v>
      </c>
      <c r="S249" s="1">
        <v>0</v>
      </c>
      <c r="T249" s="1">
        <v>1</v>
      </c>
      <c r="U249" s="1">
        <f t="shared" si="19"/>
        <v>1</v>
      </c>
      <c r="V249" s="1">
        <v>0</v>
      </c>
      <c r="W249" s="1">
        <f t="shared" si="20"/>
        <v>1</v>
      </c>
      <c r="X249" s="5">
        <f t="shared" si="18"/>
        <v>0</v>
      </c>
    </row>
    <row r="250" spans="1:24" ht="15" customHeight="1">
      <c r="A250" s="6">
        <v>46054</v>
      </c>
      <c r="B250" s="1" t="s">
        <v>61</v>
      </c>
      <c r="C250" s="1" t="s">
        <v>728</v>
      </c>
      <c r="D250" s="1" t="s">
        <v>733</v>
      </c>
      <c r="E250" s="1" t="s">
        <v>669</v>
      </c>
      <c r="F250" s="1" t="s">
        <v>734</v>
      </c>
      <c r="G250" s="1" t="s">
        <v>734</v>
      </c>
      <c r="H250" s="1" t="s">
        <v>24</v>
      </c>
      <c r="I250" s="2">
        <v>6</v>
      </c>
      <c r="J250" s="2">
        <v>550861</v>
      </c>
      <c r="K250" s="2">
        <v>1228</v>
      </c>
      <c r="L250" s="2">
        <v>0</v>
      </c>
      <c r="M250" s="2">
        <v>0</v>
      </c>
      <c r="N250" s="2">
        <v>694</v>
      </c>
      <c r="O250" s="2">
        <v>552783</v>
      </c>
      <c r="P250" s="1" t="s">
        <v>731</v>
      </c>
      <c r="Q250" s="1" t="s">
        <v>35</v>
      </c>
      <c r="R250" s="1" t="s">
        <v>735</v>
      </c>
      <c r="S250" s="1">
        <v>1</v>
      </c>
      <c r="T250" s="1">
        <v>0</v>
      </c>
      <c r="U250" s="1">
        <f t="shared" si="19"/>
        <v>1</v>
      </c>
      <c r="V250" s="1">
        <v>0</v>
      </c>
      <c r="W250" s="1">
        <f t="shared" si="20"/>
        <v>1</v>
      </c>
      <c r="X250" s="5">
        <f t="shared" si="18"/>
        <v>100</v>
      </c>
    </row>
    <row r="251" spans="1:24" ht="15" customHeight="1">
      <c r="A251" s="6">
        <v>46054</v>
      </c>
      <c r="B251" s="1" t="s">
        <v>18</v>
      </c>
      <c r="C251" s="1" t="s">
        <v>736</v>
      </c>
      <c r="D251" s="1" t="s">
        <v>737</v>
      </c>
      <c r="E251" s="1" t="s">
        <v>738</v>
      </c>
      <c r="F251" s="1" t="s">
        <v>739</v>
      </c>
      <c r="G251" s="1" t="s">
        <v>740</v>
      </c>
      <c r="H251" s="1" t="s">
        <v>24</v>
      </c>
      <c r="I251" s="2">
        <v>2</v>
      </c>
      <c r="J251" s="2">
        <v>126840.9</v>
      </c>
      <c r="K251" s="2">
        <v>1180</v>
      </c>
      <c r="L251" s="2">
        <v>0</v>
      </c>
      <c r="M251" s="2">
        <v>0</v>
      </c>
      <c r="N251" s="2">
        <v>100</v>
      </c>
      <c r="O251" s="2">
        <v>128120.9</v>
      </c>
      <c r="P251" s="1" t="s">
        <v>741</v>
      </c>
      <c r="Q251" s="1" t="s">
        <v>35</v>
      </c>
      <c r="R251" s="1" t="s">
        <v>153</v>
      </c>
      <c r="S251" s="1">
        <v>1</v>
      </c>
      <c r="T251" s="1">
        <v>0</v>
      </c>
      <c r="U251" s="1">
        <f t="shared" si="19"/>
        <v>1</v>
      </c>
      <c r="V251" s="1">
        <v>0</v>
      </c>
      <c r="W251" s="1">
        <f t="shared" si="20"/>
        <v>1</v>
      </c>
      <c r="X251" s="5">
        <f t="shared" si="18"/>
        <v>100</v>
      </c>
    </row>
    <row r="252" spans="1:24" ht="15" customHeight="1">
      <c r="A252" s="6">
        <v>46054</v>
      </c>
      <c r="B252" s="1" t="s">
        <v>18</v>
      </c>
      <c r="C252" s="1" t="s">
        <v>736</v>
      </c>
      <c r="D252" s="1" t="s">
        <v>742</v>
      </c>
      <c r="E252" s="1" t="s">
        <v>743</v>
      </c>
      <c r="F252" s="1" t="s">
        <v>744</v>
      </c>
      <c r="G252" s="1" t="s">
        <v>740</v>
      </c>
      <c r="H252" s="1" t="s">
        <v>24</v>
      </c>
      <c r="I252" s="2">
        <v>1.04</v>
      </c>
      <c r="J252" s="2">
        <v>73893.78</v>
      </c>
      <c r="K252" s="2">
        <v>7097</v>
      </c>
      <c r="L252" s="2">
        <v>56127</v>
      </c>
      <c r="M252" s="2">
        <v>0</v>
      </c>
      <c r="N252" s="2">
        <v>0</v>
      </c>
      <c r="O252" s="2">
        <v>24863.78</v>
      </c>
      <c r="P252" s="1" t="s">
        <v>745</v>
      </c>
      <c r="Q252" s="1" t="s">
        <v>35</v>
      </c>
      <c r="R252" s="1" t="s">
        <v>746</v>
      </c>
      <c r="S252" s="1">
        <v>1</v>
      </c>
      <c r="T252" s="1">
        <v>0</v>
      </c>
      <c r="U252" s="1">
        <f t="shared" si="19"/>
        <v>1</v>
      </c>
      <c r="V252" s="1">
        <v>0</v>
      </c>
      <c r="W252" s="1">
        <f t="shared" si="20"/>
        <v>1</v>
      </c>
      <c r="X252" s="5">
        <f t="shared" si="18"/>
        <v>100</v>
      </c>
    </row>
    <row r="253" spans="1:24" ht="15" customHeight="1">
      <c r="A253" s="6">
        <v>46054</v>
      </c>
      <c r="B253" s="1" t="s">
        <v>18</v>
      </c>
      <c r="C253" s="1" t="s">
        <v>736</v>
      </c>
      <c r="D253" s="1" t="s">
        <v>747</v>
      </c>
      <c r="E253" s="1" t="s">
        <v>738</v>
      </c>
      <c r="F253" s="1" t="s">
        <v>748</v>
      </c>
      <c r="G253" s="1" t="s">
        <v>749</v>
      </c>
      <c r="H253" s="1" t="s">
        <v>24</v>
      </c>
      <c r="I253" s="2">
        <v>2</v>
      </c>
      <c r="J253" s="2">
        <v>143682</v>
      </c>
      <c r="K253" s="2">
        <v>1180</v>
      </c>
      <c r="L253" s="2">
        <v>0</v>
      </c>
      <c r="M253" s="2">
        <v>0</v>
      </c>
      <c r="N253" s="2">
        <v>100</v>
      </c>
      <c r="O253" s="2">
        <v>144962</v>
      </c>
      <c r="P253" s="1" t="s">
        <v>741</v>
      </c>
      <c r="Q253" s="1" t="s">
        <v>35</v>
      </c>
      <c r="R253" s="1" t="s">
        <v>153</v>
      </c>
      <c r="S253" s="1">
        <v>1</v>
      </c>
      <c r="T253" s="1">
        <v>0</v>
      </c>
      <c r="U253" s="1">
        <f t="shared" ref="U253:U256" si="23">T253+S253</f>
        <v>1</v>
      </c>
      <c r="V253" s="1">
        <v>0</v>
      </c>
      <c r="W253" s="1">
        <f t="shared" si="20"/>
        <v>1</v>
      </c>
      <c r="X253" s="5">
        <f t="shared" si="18"/>
        <v>100</v>
      </c>
    </row>
    <row r="254" spans="1:24" ht="15" customHeight="1">
      <c r="A254" s="6">
        <v>46054</v>
      </c>
      <c r="B254" s="1" t="s">
        <v>18</v>
      </c>
      <c r="C254" s="1" t="s">
        <v>736</v>
      </c>
      <c r="D254" s="1" t="s">
        <v>750</v>
      </c>
      <c r="E254" s="1" t="s">
        <v>751</v>
      </c>
      <c r="F254" s="1" t="s">
        <v>752</v>
      </c>
      <c r="G254" s="1"/>
      <c r="H254" s="1" t="s">
        <v>60</v>
      </c>
      <c r="I254" s="2">
        <v>3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1" t="s">
        <v>745</v>
      </c>
      <c r="Q254" s="1" t="s">
        <v>26</v>
      </c>
      <c r="R254" s="1" t="s">
        <v>753</v>
      </c>
      <c r="S254" s="1">
        <v>0</v>
      </c>
      <c r="T254" s="1">
        <v>0</v>
      </c>
      <c r="U254" s="1">
        <f t="shared" si="23"/>
        <v>0</v>
      </c>
      <c r="V254" s="1">
        <v>1</v>
      </c>
      <c r="W254" s="1">
        <f t="shared" si="20"/>
        <v>1</v>
      </c>
      <c r="X254" s="5" t="e">
        <f t="shared" si="18"/>
        <v>#DIV/0!</v>
      </c>
    </row>
    <row r="255" spans="1:24" ht="15" customHeight="1">
      <c r="A255" s="6">
        <v>46054</v>
      </c>
      <c r="B255" s="1" t="s">
        <v>18</v>
      </c>
      <c r="C255" s="1" t="s">
        <v>736</v>
      </c>
      <c r="D255" s="1" t="s">
        <v>754</v>
      </c>
      <c r="E255" s="1" t="s">
        <v>662</v>
      </c>
      <c r="F255" s="1" t="s">
        <v>755</v>
      </c>
      <c r="G255" s="1" t="s">
        <v>740</v>
      </c>
      <c r="H255" s="1" t="s">
        <v>24</v>
      </c>
      <c r="I255" s="2">
        <v>2.89</v>
      </c>
      <c r="J255" s="2">
        <v>113885.12</v>
      </c>
      <c r="K255" s="2">
        <v>0</v>
      </c>
      <c r="L255" s="2">
        <v>0</v>
      </c>
      <c r="M255" s="2">
        <v>0</v>
      </c>
      <c r="N255" s="2">
        <v>0</v>
      </c>
      <c r="O255" s="2">
        <v>113885.12</v>
      </c>
      <c r="P255" s="1" t="s">
        <v>745</v>
      </c>
      <c r="Q255" s="1" t="s">
        <v>26</v>
      </c>
      <c r="R255" s="1" t="s">
        <v>753</v>
      </c>
      <c r="S255" s="1">
        <v>0</v>
      </c>
      <c r="T255" s="1">
        <v>0</v>
      </c>
      <c r="U255" s="1">
        <f t="shared" si="23"/>
        <v>0</v>
      </c>
      <c r="V255" s="1">
        <v>1</v>
      </c>
      <c r="W255" s="1">
        <f t="shared" si="20"/>
        <v>1</v>
      </c>
      <c r="X255" s="5" t="e">
        <f t="shared" si="18"/>
        <v>#DIV/0!</v>
      </c>
    </row>
    <row r="256" spans="1:24" ht="15" customHeight="1">
      <c r="A256" s="6">
        <v>46054</v>
      </c>
      <c r="B256" s="1" t="s">
        <v>18</v>
      </c>
      <c r="C256" s="1" t="s">
        <v>736</v>
      </c>
      <c r="D256" s="1" t="s">
        <v>756</v>
      </c>
      <c r="E256" s="1" t="s">
        <v>669</v>
      </c>
      <c r="F256" s="1" t="s">
        <v>757</v>
      </c>
      <c r="G256" s="1" t="s">
        <v>758</v>
      </c>
      <c r="H256" s="1" t="s">
        <v>24</v>
      </c>
      <c r="I256" s="2">
        <v>2.52</v>
      </c>
      <c r="J256" s="2">
        <v>110290</v>
      </c>
      <c r="K256" s="2">
        <v>0</v>
      </c>
      <c r="L256" s="2">
        <v>0</v>
      </c>
      <c r="M256" s="2">
        <v>0</v>
      </c>
      <c r="N256" s="2">
        <v>0</v>
      </c>
      <c r="O256" s="2">
        <v>110290</v>
      </c>
      <c r="P256" s="1" t="s">
        <v>745</v>
      </c>
      <c r="Q256" s="1" t="s">
        <v>26</v>
      </c>
      <c r="R256" s="1" t="s">
        <v>759</v>
      </c>
      <c r="S256" s="1">
        <v>0</v>
      </c>
      <c r="T256" s="1">
        <v>0</v>
      </c>
      <c r="U256" s="1">
        <f t="shared" si="23"/>
        <v>0</v>
      </c>
      <c r="V256" s="1">
        <v>1</v>
      </c>
      <c r="W256" s="1">
        <f t="shared" si="20"/>
        <v>1</v>
      </c>
      <c r="X256" s="5" t="e">
        <f t="shared" si="18"/>
        <v>#DIV/0!</v>
      </c>
    </row>
    <row r="257" spans="1:24" ht="15" customHeight="1">
      <c r="A257" s="6">
        <v>46054</v>
      </c>
      <c r="B257" s="1" t="s">
        <v>18</v>
      </c>
      <c r="C257" s="1" t="s">
        <v>736</v>
      </c>
      <c r="D257" s="1" t="s">
        <v>760</v>
      </c>
      <c r="E257" s="1" t="s">
        <v>761</v>
      </c>
      <c r="F257" s="1" t="s">
        <v>762</v>
      </c>
      <c r="G257" s="1"/>
      <c r="H257" s="1" t="s">
        <v>24</v>
      </c>
      <c r="I257" s="2">
        <v>2.4500000000000002</v>
      </c>
      <c r="J257" s="2">
        <v>137665.26999999999</v>
      </c>
      <c r="K257" s="2">
        <v>1180</v>
      </c>
      <c r="L257" s="2">
        <v>0</v>
      </c>
      <c r="M257" s="2">
        <v>0</v>
      </c>
      <c r="N257" s="2">
        <v>100</v>
      </c>
      <c r="O257" s="2">
        <v>138945.26999999999</v>
      </c>
      <c r="P257" s="1" t="s">
        <v>745</v>
      </c>
      <c r="Q257" s="1" t="s">
        <v>35</v>
      </c>
      <c r="R257" s="1" t="s">
        <v>44</v>
      </c>
      <c r="S257" s="1">
        <v>1</v>
      </c>
      <c r="T257" s="1">
        <v>0</v>
      </c>
      <c r="U257" s="1">
        <f t="shared" ref="U257:U258" si="24">T257+S257</f>
        <v>1</v>
      </c>
      <c r="V257" s="1">
        <v>0</v>
      </c>
      <c r="W257" s="1">
        <f t="shared" si="20"/>
        <v>1</v>
      </c>
      <c r="X257" s="5">
        <f t="shared" ref="X257:X320" si="25">100/U257*S257</f>
        <v>100</v>
      </c>
    </row>
    <row r="258" spans="1:24" ht="15" customHeight="1">
      <c r="A258" s="6">
        <v>46054</v>
      </c>
      <c r="B258" s="1" t="s">
        <v>18</v>
      </c>
      <c r="C258" s="1" t="s">
        <v>736</v>
      </c>
      <c r="D258" s="1" t="s">
        <v>763</v>
      </c>
      <c r="E258" s="1" t="s">
        <v>764</v>
      </c>
      <c r="F258" s="1" t="s">
        <v>762</v>
      </c>
      <c r="G258" s="1"/>
      <c r="H258" s="1" t="s">
        <v>24</v>
      </c>
      <c r="I258" s="2">
        <v>7.46</v>
      </c>
      <c r="J258" s="2">
        <v>-1452</v>
      </c>
      <c r="K258" s="2">
        <v>0</v>
      </c>
      <c r="L258" s="2">
        <v>0</v>
      </c>
      <c r="M258" s="2">
        <v>0</v>
      </c>
      <c r="N258" s="2">
        <v>0</v>
      </c>
      <c r="O258" s="2">
        <v>-1452</v>
      </c>
      <c r="P258" s="1" t="s">
        <v>745</v>
      </c>
      <c r="Q258" s="1" t="s">
        <v>26</v>
      </c>
      <c r="R258" s="1" t="s">
        <v>386</v>
      </c>
      <c r="S258" s="1">
        <v>0</v>
      </c>
      <c r="T258" s="1">
        <v>0</v>
      </c>
      <c r="U258" s="1">
        <f t="shared" si="24"/>
        <v>0</v>
      </c>
      <c r="V258" s="1">
        <v>1</v>
      </c>
      <c r="W258" s="1">
        <f t="shared" ref="W258:W321" si="26">V258+U258</f>
        <v>1</v>
      </c>
      <c r="X258" s="5" t="e">
        <f t="shared" si="25"/>
        <v>#DIV/0!</v>
      </c>
    </row>
    <row r="259" spans="1:24" ht="15" customHeight="1">
      <c r="A259" s="6">
        <v>46054</v>
      </c>
      <c r="B259" s="1" t="s">
        <v>18</v>
      </c>
      <c r="C259" s="1" t="s">
        <v>736</v>
      </c>
      <c r="D259" s="1" t="s">
        <v>765</v>
      </c>
      <c r="E259" s="1" t="s">
        <v>766</v>
      </c>
      <c r="F259" s="1" t="s">
        <v>767</v>
      </c>
      <c r="G259" s="1"/>
      <c r="H259" s="1" t="s">
        <v>24</v>
      </c>
      <c r="I259" s="2">
        <v>0.49</v>
      </c>
      <c r="J259" s="2">
        <v>534319</v>
      </c>
      <c r="K259" s="2">
        <v>12645</v>
      </c>
      <c r="L259" s="2">
        <v>0</v>
      </c>
      <c r="M259" s="2">
        <v>0</v>
      </c>
      <c r="N259" s="2">
        <v>1846</v>
      </c>
      <c r="O259" s="2">
        <v>548810</v>
      </c>
      <c r="P259" s="1" t="s">
        <v>745</v>
      </c>
      <c r="Q259" s="1" t="s">
        <v>35</v>
      </c>
      <c r="R259" s="1" t="s">
        <v>759</v>
      </c>
      <c r="S259" s="1">
        <v>1</v>
      </c>
      <c r="T259" s="1">
        <v>0</v>
      </c>
      <c r="U259" s="1">
        <f t="shared" ref="U259:U321" si="27">T259+S259</f>
        <v>1</v>
      </c>
      <c r="V259" s="1">
        <v>0</v>
      </c>
      <c r="W259" s="1">
        <f t="shared" si="26"/>
        <v>1</v>
      </c>
      <c r="X259" s="5">
        <f t="shared" si="25"/>
        <v>100</v>
      </c>
    </row>
    <row r="260" spans="1:24" ht="15" customHeight="1">
      <c r="A260" s="6">
        <v>46054</v>
      </c>
      <c r="B260" s="1" t="s">
        <v>18</v>
      </c>
      <c r="C260" s="1" t="s">
        <v>736</v>
      </c>
      <c r="D260" s="1" t="s">
        <v>768</v>
      </c>
      <c r="E260" s="1" t="s">
        <v>662</v>
      </c>
      <c r="F260" s="1" t="s">
        <v>769</v>
      </c>
      <c r="G260" s="1" t="s">
        <v>740</v>
      </c>
      <c r="H260" s="1" t="s">
        <v>24</v>
      </c>
      <c r="I260" s="2">
        <v>2.8</v>
      </c>
      <c r="J260" s="2">
        <v>124176</v>
      </c>
      <c r="K260" s="2">
        <v>1180</v>
      </c>
      <c r="L260" s="2">
        <v>0</v>
      </c>
      <c r="M260" s="2">
        <v>0</v>
      </c>
      <c r="N260" s="2">
        <v>100</v>
      </c>
      <c r="O260" s="2">
        <v>125456</v>
      </c>
      <c r="P260" s="1" t="s">
        <v>745</v>
      </c>
      <c r="Q260" s="1" t="s">
        <v>35</v>
      </c>
      <c r="R260" s="1" t="s">
        <v>44</v>
      </c>
      <c r="S260" s="1">
        <v>1</v>
      </c>
      <c r="T260" s="1">
        <v>0</v>
      </c>
      <c r="U260" s="1">
        <f t="shared" si="27"/>
        <v>1</v>
      </c>
      <c r="V260" s="1">
        <v>0</v>
      </c>
      <c r="W260" s="1">
        <f t="shared" si="26"/>
        <v>1</v>
      </c>
      <c r="X260" s="5">
        <f t="shared" si="25"/>
        <v>100</v>
      </c>
    </row>
    <row r="261" spans="1:24" ht="15" customHeight="1">
      <c r="A261" s="6">
        <v>46054</v>
      </c>
      <c r="B261" s="1" t="s">
        <v>18</v>
      </c>
      <c r="C261" s="1" t="s">
        <v>736</v>
      </c>
      <c r="D261" s="1" t="s">
        <v>770</v>
      </c>
      <c r="E261" s="1" t="s">
        <v>771</v>
      </c>
      <c r="F261" s="1" t="s">
        <v>772</v>
      </c>
      <c r="G261" s="1" t="s">
        <v>740</v>
      </c>
      <c r="H261" s="1" t="s">
        <v>24</v>
      </c>
      <c r="I261" s="2">
        <v>2</v>
      </c>
      <c r="J261" s="2">
        <v>56217</v>
      </c>
      <c r="K261" s="2">
        <v>1180</v>
      </c>
      <c r="L261" s="2">
        <v>0</v>
      </c>
      <c r="M261" s="2">
        <v>0</v>
      </c>
      <c r="N261" s="2">
        <v>100</v>
      </c>
      <c r="O261" s="2">
        <v>57497</v>
      </c>
      <c r="P261" s="1" t="s">
        <v>741</v>
      </c>
      <c r="Q261" s="1" t="s">
        <v>35</v>
      </c>
      <c r="R261" s="1" t="s">
        <v>153</v>
      </c>
      <c r="S261" s="1">
        <v>1</v>
      </c>
      <c r="T261" s="1">
        <v>0</v>
      </c>
      <c r="U261" s="1">
        <f t="shared" si="27"/>
        <v>1</v>
      </c>
      <c r="V261" s="1">
        <v>0</v>
      </c>
      <c r="W261" s="1">
        <f t="shared" si="26"/>
        <v>1</v>
      </c>
      <c r="X261" s="5">
        <f t="shared" si="25"/>
        <v>100</v>
      </c>
    </row>
    <row r="262" spans="1:24" ht="15" customHeight="1">
      <c r="A262" s="6">
        <v>46054</v>
      </c>
      <c r="B262" s="1" t="s">
        <v>18</v>
      </c>
      <c r="C262" s="1" t="s">
        <v>736</v>
      </c>
      <c r="D262" s="1" t="s">
        <v>773</v>
      </c>
      <c r="E262" s="1" t="s">
        <v>738</v>
      </c>
      <c r="F262" s="1" t="s">
        <v>169</v>
      </c>
      <c r="G262" s="1" t="s">
        <v>774</v>
      </c>
      <c r="H262" s="1" t="s">
        <v>24</v>
      </c>
      <c r="I262" s="2">
        <v>2</v>
      </c>
      <c r="J262" s="2">
        <v>26371</v>
      </c>
      <c r="K262" s="2">
        <v>1180</v>
      </c>
      <c r="L262" s="2">
        <v>0</v>
      </c>
      <c r="M262" s="2">
        <v>0</v>
      </c>
      <c r="N262" s="2">
        <v>100</v>
      </c>
      <c r="O262" s="2">
        <v>27651</v>
      </c>
      <c r="P262" s="1" t="s">
        <v>741</v>
      </c>
      <c r="Q262" s="1" t="s">
        <v>35</v>
      </c>
      <c r="R262" s="1" t="s">
        <v>153</v>
      </c>
      <c r="S262" s="1">
        <v>1</v>
      </c>
      <c r="T262" s="1">
        <v>0</v>
      </c>
      <c r="U262" s="1">
        <f t="shared" si="27"/>
        <v>1</v>
      </c>
      <c r="V262" s="1">
        <v>0</v>
      </c>
      <c r="W262" s="1">
        <f t="shared" si="26"/>
        <v>1</v>
      </c>
      <c r="X262" s="5">
        <f t="shared" si="25"/>
        <v>100</v>
      </c>
    </row>
    <row r="263" spans="1:24">
      <c r="A263" s="6">
        <v>46054</v>
      </c>
      <c r="B263" s="1" t="s">
        <v>18</v>
      </c>
      <c r="C263" s="1" t="s">
        <v>736</v>
      </c>
      <c r="D263" s="1" t="s">
        <v>775</v>
      </c>
      <c r="E263" s="1" t="s">
        <v>771</v>
      </c>
      <c r="F263" s="1" t="s">
        <v>740</v>
      </c>
      <c r="G263" s="1" t="s">
        <v>740</v>
      </c>
      <c r="H263" s="1" t="s">
        <v>24</v>
      </c>
      <c r="I263" s="2">
        <v>2</v>
      </c>
      <c r="J263" s="2">
        <v>158137</v>
      </c>
      <c r="K263" s="2">
        <v>1180</v>
      </c>
      <c r="L263" s="2">
        <v>0</v>
      </c>
      <c r="M263" s="2">
        <v>0</v>
      </c>
      <c r="N263" s="2">
        <v>100</v>
      </c>
      <c r="O263" s="2">
        <v>159417</v>
      </c>
      <c r="P263" s="1" t="s">
        <v>741</v>
      </c>
      <c r="Q263" s="1" t="s">
        <v>35</v>
      </c>
      <c r="R263" s="1" t="s">
        <v>153</v>
      </c>
      <c r="S263" s="1">
        <v>1</v>
      </c>
      <c r="T263" s="1">
        <v>0</v>
      </c>
      <c r="U263" s="1">
        <f t="shared" si="27"/>
        <v>1</v>
      </c>
      <c r="V263" s="1">
        <v>0</v>
      </c>
      <c r="W263" s="1">
        <f t="shared" si="26"/>
        <v>1</v>
      </c>
      <c r="X263" s="5">
        <f t="shared" si="25"/>
        <v>100</v>
      </c>
    </row>
    <row r="264" spans="1:24" ht="15" customHeight="1">
      <c r="A264" s="6">
        <v>46054</v>
      </c>
      <c r="B264" s="1" t="s">
        <v>18</v>
      </c>
      <c r="C264" s="1" t="s">
        <v>736</v>
      </c>
      <c r="D264" s="1" t="s">
        <v>776</v>
      </c>
      <c r="E264" s="1" t="s">
        <v>771</v>
      </c>
      <c r="F264" s="1" t="s">
        <v>777</v>
      </c>
      <c r="G264" s="1" t="s">
        <v>740</v>
      </c>
      <c r="H264" s="1" t="s">
        <v>24</v>
      </c>
      <c r="I264" s="2">
        <v>2</v>
      </c>
      <c r="J264" s="2">
        <v>18367</v>
      </c>
      <c r="K264" s="2">
        <v>1180</v>
      </c>
      <c r="L264" s="2">
        <v>0</v>
      </c>
      <c r="M264" s="2">
        <v>0</v>
      </c>
      <c r="N264" s="2">
        <v>100</v>
      </c>
      <c r="O264" s="2">
        <v>19647</v>
      </c>
      <c r="P264" s="1" t="s">
        <v>741</v>
      </c>
      <c r="Q264" s="1" t="s">
        <v>35</v>
      </c>
      <c r="R264" s="1" t="s">
        <v>153</v>
      </c>
      <c r="S264" s="1">
        <v>1</v>
      </c>
      <c r="T264" s="1">
        <v>0</v>
      </c>
      <c r="U264" s="1">
        <f t="shared" si="27"/>
        <v>1</v>
      </c>
      <c r="V264" s="1">
        <v>0</v>
      </c>
      <c r="W264" s="1">
        <f t="shared" si="26"/>
        <v>1</v>
      </c>
      <c r="X264" s="5">
        <f t="shared" si="25"/>
        <v>100</v>
      </c>
    </row>
    <row r="265" spans="1:24" ht="15" customHeight="1">
      <c r="A265" s="6">
        <v>46054</v>
      </c>
      <c r="B265" s="1" t="s">
        <v>18</v>
      </c>
      <c r="C265" s="1" t="s">
        <v>736</v>
      </c>
      <c r="D265" s="1" t="s">
        <v>778</v>
      </c>
      <c r="E265" s="1" t="s">
        <v>738</v>
      </c>
      <c r="F265" s="1" t="s">
        <v>740</v>
      </c>
      <c r="G265" s="1" t="s">
        <v>740</v>
      </c>
      <c r="H265" s="1" t="s">
        <v>24</v>
      </c>
      <c r="I265" s="2">
        <v>2</v>
      </c>
      <c r="J265" s="2">
        <v>13107</v>
      </c>
      <c r="K265" s="2">
        <v>0</v>
      </c>
      <c r="L265" s="2">
        <v>0</v>
      </c>
      <c r="M265" s="2">
        <v>0</v>
      </c>
      <c r="N265" s="2">
        <v>0</v>
      </c>
      <c r="O265" s="2">
        <v>13107</v>
      </c>
      <c r="P265" s="1" t="s">
        <v>741</v>
      </c>
      <c r="Q265" s="1" t="s">
        <v>26</v>
      </c>
      <c r="R265" s="1" t="s">
        <v>153</v>
      </c>
      <c r="S265" s="1">
        <v>0</v>
      </c>
      <c r="T265" s="1">
        <v>0</v>
      </c>
      <c r="U265" s="1">
        <f t="shared" si="27"/>
        <v>0</v>
      </c>
      <c r="V265" s="1">
        <v>1</v>
      </c>
      <c r="W265" s="1">
        <f t="shared" si="26"/>
        <v>1</v>
      </c>
      <c r="X265" s="5" t="e">
        <f t="shared" si="25"/>
        <v>#DIV/0!</v>
      </c>
    </row>
    <row r="266" spans="1:24">
      <c r="A266" s="6">
        <v>46054</v>
      </c>
      <c r="B266" s="1" t="s">
        <v>18</v>
      </c>
      <c r="C266" s="1" t="s">
        <v>736</v>
      </c>
      <c r="D266" s="1" t="s">
        <v>779</v>
      </c>
      <c r="E266" s="1" t="s">
        <v>771</v>
      </c>
      <c r="F266" s="1" t="s">
        <v>780</v>
      </c>
      <c r="G266" s="1" t="s">
        <v>740</v>
      </c>
      <c r="H266" s="1" t="s">
        <v>24</v>
      </c>
      <c r="I266" s="2">
        <v>2</v>
      </c>
      <c r="J266" s="2">
        <v>85817</v>
      </c>
      <c r="K266" s="2">
        <v>1180</v>
      </c>
      <c r="L266" s="2">
        <v>0</v>
      </c>
      <c r="M266" s="2">
        <v>0</v>
      </c>
      <c r="N266" s="2">
        <v>100</v>
      </c>
      <c r="O266" s="2">
        <v>87097</v>
      </c>
      <c r="P266" s="1" t="s">
        <v>741</v>
      </c>
      <c r="Q266" s="1" t="s">
        <v>35</v>
      </c>
      <c r="R266" s="1" t="s">
        <v>153</v>
      </c>
      <c r="S266" s="1">
        <v>1</v>
      </c>
      <c r="T266" s="1">
        <v>0</v>
      </c>
      <c r="U266" s="1">
        <f t="shared" si="27"/>
        <v>1</v>
      </c>
      <c r="V266" s="1">
        <v>0</v>
      </c>
      <c r="W266" s="1">
        <f t="shared" si="26"/>
        <v>1</v>
      </c>
      <c r="X266" s="5">
        <f t="shared" si="25"/>
        <v>100</v>
      </c>
    </row>
    <row r="267" spans="1:24" ht="15" customHeight="1">
      <c r="A267" s="6">
        <v>46054</v>
      </c>
      <c r="B267" s="1" t="s">
        <v>18</v>
      </c>
      <c r="C267" s="1" t="s">
        <v>736</v>
      </c>
      <c r="D267" s="1" t="s">
        <v>781</v>
      </c>
      <c r="E267" s="1" t="s">
        <v>782</v>
      </c>
      <c r="F267" s="1" t="s">
        <v>783</v>
      </c>
      <c r="G267" s="1" t="s">
        <v>740</v>
      </c>
      <c r="H267" s="1" t="s">
        <v>24</v>
      </c>
      <c r="I267" s="2">
        <v>1.75</v>
      </c>
      <c r="J267" s="2">
        <v>202848</v>
      </c>
      <c r="K267" s="2">
        <v>0</v>
      </c>
      <c r="L267" s="2">
        <v>0</v>
      </c>
      <c r="M267" s="2">
        <v>0</v>
      </c>
      <c r="N267" s="2">
        <v>0</v>
      </c>
      <c r="O267" s="2">
        <v>202848</v>
      </c>
      <c r="P267" s="1" t="s">
        <v>741</v>
      </c>
      <c r="Q267" s="1" t="s">
        <v>26</v>
      </c>
      <c r="R267" s="1" t="s">
        <v>153</v>
      </c>
      <c r="S267" s="1">
        <v>0</v>
      </c>
      <c r="T267" s="1">
        <v>0</v>
      </c>
      <c r="U267" s="1">
        <f t="shared" si="27"/>
        <v>0</v>
      </c>
      <c r="V267" s="1">
        <v>1</v>
      </c>
      <c r="W267" s="1">
        <f t="shared" si="26"/>
        <v>1</v>
      </c>
      <c r="X267" s="5" t="e">
        <f t="shared" si="25"/>
        <v>#DIV/0!</v>
      </c>
    </row>
    <row r="268" spans="1:24" ht="15" customHeight="1">
      <c r="A268" s="6">
        <v>46054</v>
      </c>
      <c r="B268" s="1" t="s">
        <v>18</v>
      </c>
      <c r="C268" s="1" t="s">
        <v>736</v>
      </c>
      <c r="D268" s="1" t="s">
        <v>784</v>
      </c>
      <c r="E268" s="1" t="s">
        <v>785</v>
      </c>
      <c r="F268" s="1" t="s">
        <v>786</v>
      </c>
      <c r="G268" s="1" t="s">
        <v>787</v>
      </c>
      <c r="H268" s="1" t="s">
        <v>128</v>
      </c>
      <c r="I268" s="2">
        <v>1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1" t="s">
        <v>745</v>
      </c>
      <c r="Q268" s="1" t="s">
        <v>26</v>
      </c>
      <c r="R268" s="1" t="s">
        <v>44</v>
      </c>
      <c r="S268" s="1">
        <v>0</v>
      </c>
      <c r="T268" s="1">
        <v>0</v>
      </c>
      <c r="U268" s="1">
        <f t="shared" si="27"/>
        <v>0</v>
      </c>
      <c r="V268" s="1">
        <v>1</v>
      </c>
      <c r="W268" s="1">
        <f t="shared" si="26"/>
        <v>1</v>
      </c>
      <c r="X268" s="5" t="e">
        <f t="shared" si="25"/>
        <v>#DIV/0!</v>
      </c>
    </row>
    <row r="269" spans="1:24" ht="15" customHeight="1">
      <c r="A269" s="6">
        <v>46054</v>
      </c>
      <c r="B269" s="1" t="s">
        <v>18</v>
      </c>
      <c r="C269" s="1" t="s">
        <v>788</v>
      </c>
      <c r="D269" s="1" t="s">
        <v>789</v>
      </c>
      <c r="E269" s="1" t="s">
        <v>790</v>
      </c>
      <c r="F269" s="1" t="s">
        <v>791</v>
      </c>
      <c r="G269" s="1"/>
      <c r="H269" s="1" t="s">
        <v>24</v>
      </c>
      <c r="I269" s="2">
        <v>6</v>
      </c>
      <c r="J269" s="2">
        <v>10396</v>
      </c>
      <c r="K269" s="2">
        <v>1220</v>
      </c>
      <c r="L269" s="2">
        <v>0</v>
      </c>
      <c r="M269" s="2">
        <v>0</v>
      </c>
      <c r="N269" s="2">
        <v>878</v>
      </c>
      <c r="O269" s="2">
        <v>12494</v>
      </c>
      <c r="P269" s="1" t="s">
        <v>741</v>
      </c>
      <c r="Q269" s="1" t="s">
        <v>35</v>
      </c>
      <c r="R269" s="1" t="s">
        <v>746</v>
      </c>
      <c r="S269" s="1">
        <v>1</v>
      </c>
      <c r="T269" s="1">
        <v>0</v>
      </c>
      <c r="U269" s="1">
        <f t="shared" si="27"/>
        <v>1</v>
      </c>
      <c r="V269" s="1">
        <v>0</v>
      </c>
      <c r="W269" s="1">
        <f t="shared" si="26"/>
        <v>1</v>
      </c>
      <c r="X269" s="5">
        <f t="shared" si="25"/>
        <v>100</v>
      </c>
    </row>
    <row r="270" spans="1:24" ht="15" customHeight="1">
      <c r="A270" s="6">
        <v>46054</v>
      </c>
      <c r="B270" s="1" t="s">
        <v>18</v>
      </c>
      <c r="C270" s="1" t="s">
        <v>788</v>
      </c>
      <c r="D270" s="1" t="s">
        <v>792</v>
      </c>
      <c r="E270" s="1" t="s">
        <v>793</v>
      </c>
      <c r="F270" s="1" t="s">
        <v>794</v>
      </c>
      <c r="G270" s="1" t="s">
        <v>795</v>
      </c>
      <c r="H270" s="1" t="s">
        <v>24</v>
      </c>
      <c r="I270" s="2">
        <v>1</v>
      </c>
      <c r="J270" s="2">
        <v>589798</v>
      </c>
      <c r="K270" s="2">
        <v>29788</v>
      </c>
      <c r="L270" s="2">
        <v>0</v>
      </c>
      <c r="M270" s="2">
        <v>0</v>
      </c>
      <c r="N270" s="2">
        <v>2540</v>
      </c>
      <c r="O270" s="2">
        <v>622126</v>
      </c>
      <c r="P270" s="1" t="s">
        <v>741</v>
      </c>
      <c r="Q270" s="1" t="s">
        <v>35</v>
      </c>
      <c r="R270" s="1" t="s">
        <v>132</v>
      </c>
      <c r="S270" s="1">
        <v>1</v>
      </c>
      <c r="T270" s="1">
        <v>0</v>
      </c>
      <c r="U270" s="1">
        <f t="shared" si="27"/>
        <v>1</v>
      </c>
      <c r="V270" s="1">
        <v>0</v>
      </c>
      <c r="W270" s="1">
        <f t="shared" si="26"/>
        <v>1</v>
      </c>
      <c r="X270" s="5">
        <f t="shared" si="25"/>
        <v>100</v>
      </c>
    </row>
    <row r="271" spans="1:24" ht="15" customHeight="1">
      <c r="A271" s="6">
        <v>46054</v>
      </c>
      <c r="B271" s="1" t="s">
        <v>18</v>
      </c>
      <c r="C271" s="1" t="s">
        <v>788</v>
      </c>
      <c r="D271" s="1" t="s">
        <v>796</v>
      </c>
      <c r="E271" s="1" t="s">
        <v>169</v>
      </c>
      <c r="F271" s="1" t="s">
        <v>797</v>
      </c>
      <c r="G271" s="1"/>
      <c r="H271" s="1" t="s">
        <v>24</v>
      </c>
      <c r="I271" s="2">
        <v>3</v>
      </c>
      <c r="J271" s="2">
        <v>-1470</v>
      </c>
      <c r="K271" s="2">
        <v>0</v>
      </c>
      <c r="L271" s="2">
        <v>0</v>
      </c>
      <c r="M271" s="2">
        <v>0</v>
      </c>
      <c r="N271" s="2">
        <v>0</v>
      </c>
      <c r="O271" s="2">
        <v>-1470</v>
      </c>
      <c r="P271" s="1" t="s">
        <v>741</v>
      </c>
      <c r="Q271" s="1" t="s">
        <v>26</v>
      </c>
      <c r="R271" s="1" t="s">
        <v>44</v>
      </c>
      <c r="S271" s="1">
        <v>0</v>
      </c>
      <c r="T271" s="1">
        <v>0</v>
      </c>
      <c r="U271" s="1">
        <f t="shared" si="27"/>
        <v>0</v>
      </c>
      <c r="V271" s="1">
        <v>1</v>
      </c>
      <c r="W271" s="1">
        <f t="shared" si="26"/>
        <v>1</v>
      </c>
      <c r="X271" s="5" t="e">
        <f t="shared" si="25"/>
        <v>#DIV/0!</v>
      </c>
    </row>
    <row r="272" spans="1:24" ht="15" customHeight="1">
      <c r="A272" s="6">
        <v>46054</v>
      </c>
      <c r="B272" s="1" t="s">
        <v>18</v>
      </c>
      <c r="C272" s="1" t="s">
        <v>788</v>
      </c>
      <c r="D272" s="1" t="s">
        <v>798</v>
      </c>
      <c r="E272" s="1" t="s">
        <v>169</v>
      </c>
      <c r="F272" s="1" t="s">
        <v>799</v>
      </c>
      <c r="G272" s="1"/>
      <c r="H272" s="1" t="s">
        <v>24</v>
      </c>
      <c r="I272" s="2">
        <v>3</v>
      </c>
      <c r="J272" s="2">
        <v>-2104</v>
      </c>
      <c r="K272" s="2">
        <v>0</v>
      </c>
      <c r="L272" s="2">
        <v>0</v>
      </c>
      <c r="M272" s="2">
        <v>0</v>
      </c>
      <c r="N272" s="2">
        <v>0</v>
      </c>
      <c r="O272" s="2">
        <v>-2104</v>
      </c>
      <c r="P272" s="1" t="s">
        <v>741</v>
      </c>
      <c r="Q272" s="1" t="s">
        <v>26</v>
      </c>
      <c r="R272" s="1" t="s">
        <v>44</v>
      </c>
      <c r="S272" s="1">
        <v>0</v>
      </c>
      <c r="T272" s="1">
        <v>0</v>
      </c>
      <c r="U272" s="1">
        <f t="shared" si="27"/>
        <v>0</v>
      </c>
      <c r="V272" s="1">
        <v>1</v>
      </c>
      <c r="W272" s="1">
        <f t="shared" si="26"/>
        <v>1</v>
      </c>
      <c r="X272" s="5" t="e">
        <f t="shared" si="25"/>
        <v>#DIV/0!</v>
      </c>
    </row>
    <row r="273" spans="1:24" ht="15" customHeight="1">
      <c r="A273" s="6">
        <v>46054</v>
      </c>
      <c r="B273" s="1" t="s">
        <v>18</v>
      </c>
      <c r="C273" s="1" t="s">
        <v>788</v>
      </c>
      <c r="D273" s="1" t="s">
        <v>800</v>
      </c>
      <c r="E273" s="1" t="s">
        <v>801</v>
      </c>
      <c r="F273" s="1" t="s">
        <v>802</v>
      </c>
      <c r="G273" s="1"/>
      <c r="H273" s="1" t="s">
        <v>24</v>
      </c>
      <c r="I273" s="2">
        <v>2.9</v>
      </c>
      <c r="J273" s="2">
        <v>-1200</v>
      </c>
      <c r="K273" s="2">
        <v>0</v>
      </c>
      <c r="L273" s="2">
        <v>0</v>
      </c>
      <c r="M273" s="2">
        <v>0</v>
      </c>
      <c r="N273" s="2">
        <v>0</v>
      </c>
      <c r="O273" s="2">
        <v>-1200</v>
      </c>
      <c r="P273" s="1" t="s">
        <v>741</v>
      </c>
      <c r="Q273" s="1" t="s">
        <v>26</v>
      </c>
      <c r="R273" s="1" t="s">
        <v>44</v>
      </c>
      <c r="S273" s="1">
        <v>0</v>
      </c>
      <c r="T273" s="1">
        <v>0</v>
      </c>
      <c r="U273" s="1">
        <f t="shared" si="27"/>
        <v>0</v>
      </c>
      <c r="V273" s="1">
        <v>1</v>
      </c>
      <c r="W273" s="1">
        <f t="shared" si="26"/>
        <v>1</v>
      </c>
      <c r="X273" s="5" t="e">
        <f t="shared" si="25"/>
        <v>#DIV/0!</v>
      </c>
    </row>
    <row r="274" spans="1:24" ht="15" customHeight="1">
      <c r="A274" s="6">
        <v>46054</v>
      </c>
      <c r="B274" s="1" t="s">
        <v>18</v>
      </c>
      <c r="C274" s="1" t="s">
        <v>788</v>
      </c>
      <c r="D274" s="1" t="s">
        <v>803</v>
      </c>
      <c r="E274" s="1" t="s">
        <v>804</v>
      </c>
      <c r="F274" s="1" t="s">
        <v>805</v>
      </c>
      <c r="G274" s="1"/>
      <c r="H274" s="1" t="s">
        <v>24</v>
      </c>
      <c r="I274" s="2">
        <v>1.9</v>
      </c>
      <c r="J274" s="2">
        <v>446</v>
      </c>
      <c r="K274" s="2">
        <v>0</v>
      </c>
      <c r="L274" s="2">
        <v>0</v>
      </c>
      <c r="M274" s="2">
        <v>0</v>
      </c>
      <c r="N274" s="2">
        <v>0</v>
      </c>
      <c r="O274" s="2">
        <v>446</v>
      </c>
      <c r="P274" s="1" t="s">
        <v>741</v>
      </c>
      <c r="Q274" s="1" t="s">
        <v>26</v>
      </c>
      <c r="R274" s="1" t="s">
        <v>746</v>
      </c>
      <c r="S274" s="1">
        <v>0</v>
      </c>
      <c r="T274" s="1">
        <v>0</v>
      </c>
      <c r="U274" s="1">
        <f t="shared" si="27"/>
        <v>0</v>
      </c>
      <c r="V274" s="1">
        <v>1</v>
      </c>
      <c r="W274" s="1">
        <f t="shared" si="26"/>
        <v>1</v>
      </c>
      <c r="X274" s="5" t="e">
        <f t="shared" si="25"/>
        <v>#DIV/0!</v>
      </c>
    </row>
    <row r="275" spans="1:24" ht="15" customHeight="1">
      <c r="A275" s="6">
        <v>46054</v>
      </c>
      <c r="B275" s="1" t="s">
        <v>49</v>
      </c>
      <c r="C275" s="1" t="s">
        <v>788</v>
      </c>
      <c r="D275" s="1" t="s">
        <v>806</v>
      </c>
      <c r="E275" s="1" t="s">
        <v>169</v>
      </c>
      <c r="F275" s="1" t="s">
        <v>807</v>
      </c>
      <c r="G275" s="1"/>
      <c r="H275" s="1" t="s">
        <v>54</v>
      </c>
      <c r="I275" s="2">
        <v>3</v>
      </c>
      <c r="J275" s="2">
        <v>244214</v>
      </c>
      <c r="K275" s="2">
        <v>0</v>
      </c>
      <c r="L275" s="2">
        <v>0</v>
      </c>
      <c r="M275" s="2">
        <v>0</v>
      </c>
      <c r="N275" s="2">
        <v>0</v>
      </c>
      <c r="O275" s="2">
        <v>244214</v>
      </c>
      <c r="P275" s="1" t="s">
        <v>741</v>
      </c>
      <c r="Q275" s="1" t="s">
        <v>26</v>
      </c>
      <c r="R275" s="1" t="s">
        <v>55</v>
      </c>
      <c r="S275" s="1">
        <v>0</v>
      </c>
      <c r="T275" s="1">
        <v>0</v>
      </c>
      <c r="U275" s="1">
        <f t="shared" si="27"/>
        <v>0</v>
      </c>
      <c r="V275" s="1">
        <v>1</v>
      </c>
      <c r="W275" s="1">
        <f t="shared" si="26"/>
        <v>1</v>
      </c>
      <c r="X275" s="5" t="e">
        <f t="shared" si="25"/>
        <v>#DIV/0!</v>
      </c>
    </row>
    <row r="276" spans="1:24" ht="15" customHeight="1">
      <c r="A276" s="6">
        <v>46054</v>
      </c>
      <c r="B276" s="1" t="s">
        <v>49</v>
      </c>
      <c r="C276" s="1" t="s">
        <v>788</v>
      </c>
      <c r="D276" s="1" t="s">
        <v>808</v>
      </c>
      <c r="E276" s="1" t="s">
        <v>169</v>
      </c>
      <c r="F276" s="1" t="s">
        <v>809</v>
      </c>
      <c r="G276" s="1" t="s">
        <v>795</v>
      </c>
      <c r="H276" s="1" t="s">
        <v>54</v>
      </c>
      <c r="I276" s="2">
        <v>3</v>
      </c>
      <c r="J276" s="2">
        <v>195205</v>
      </c>
      <c r="K276" s="2">
        <v>0</v>
      </c>
      <c r="L276" s="2">
        <v>0</v>
      </c>
      <c r="M276" s="2">
        <v>0</v>
      </c>
      <c r="N276" s="2">
        <v>0</v>
      </c>
      <c r="O276" s="2">
        <v>195205</v>
      </c>
      <c r="P276" s="1" t="s">
        <v>741</v>
      </c>
      <c r="Q276" s="1" t="s">
        <v>26</v>
      </c>
      <c r="R276" s="1" t="s">
        <v>55</v>
      </c>
      <c r="S276" s="1">
        <v>0</v>
      </c>
      <c r="T276" s="1">
        <v>0</v>
      </c>
      <c r="U276" s="1">
        <f t="shared" si="27"/>
        <v>0</v>
      </c>
      <c r="V276" s="1">
        <v>1</v>
      </c>
      <c r="W276" s="1">
        <f t="shared" si="26"/>
        <v>1</v>
      </c>
      <c r="X276" s="5" t="e">
        <f t="shared" si="25"/>
        <v>#DIV/0!</v>
      </c>
    </row>
    <row r="277" spans="1:24" ht="15" customHeight="1">
      <c r="A277" s="6">
        <v>46054</v>
      </c>
      <c r="B277" s="1" t="s">
        <v>49</v>
      </c>
      <c r="C277" s="1" t="s">
        <v>788</v>
      </c>
      <c r="D277" s="1" t="s">
        <v>810</v>
      </c>
      <c r="E277" s="1" t="s">
        <v>169</v>
      </c>
      <c r="F277" s="1" t="s">
        <v>811</v>
      </c>
      <c r="G277" s="1" t="s">
        <v>795</v>
      </c>
      <c r="H277" s="1" t="s">
        <v>54</v>
      </c>
      <c r="I277" s="2">
        <v>3.5</v>
      </c>
      <c r="J277" s="2">
        <v>214993</v>
      </c>
      <c r="K277" s="2">
        <v>0</v>
      </c>
      <c r="L277" s="2">
        <v>0</v>
      </c>
      <c r="M277" s="2">
        <v>0</v>
      </c>
      <c r="N277" s="2">
        <v>0</v>
      </c>
      <c r="O277" s="2">
        <v>214993</v>
      </c>
      <c r="P277" s="1" t="s">
        <v>741</v>
      </c>
      <c r="Q277" s="1" t="s">
        <v>26</v>
      </c>
      <c r="R277" s="1" t="s">
        <v>55</v>
      </c>
      <c r="S277" s="1">
        <v>0</v>
      </c>
      <c r="T277" s="1">
        <v>0</v>
      </c>
      <c r="U277" s="1">
        <f t="shared" si="27"/>
        <v>0</v>
      </c>
      <c r="V277" s="1">
        <v>1</v>
      </c>
      <c r="W277" s="1">
        <f t="shared" si="26"/>
        <v>1</v>
      </c>
      <c r="X277" s="5" t="e">
        <f t="shared" si="25"/>
        <v>#DIV/0!</v>
      </c>
    </row>
    <row r="278" spans="1:24" ht="15" customHeight="1">
      <c r="A278" s="6">
        <v>46054</v>
      </c>
      <c r="B278" s="1" t="s">
        <v>49</v>
      </c>
      <c r="C278" s="1" t="s">
        <v>788</v>
      </c>
      <c r="D278" s="1" t="s">
        <v>812</v>
      </c>
      <c r="E278" s="1" t="s">
        <v>813</v>
      </c>
      <c r="F278" s="1" t="s">
        <v>809</v>
      </c>
      <c r="G278" s="1" t="s">
        <v>795</v>
      </c>
      <c r="H278" s="1" t="s">
        <v>54</v>
      </c>
      <c r="I278" s="2">
        <v>5</v>
      </c>
      <c r="J278" s="2">
        <v>490602</v>
      </c>
      <c r="K278" s="2">
        <v>0</v>
      </c>
      <c r="L278" s="2">
        <v>0</v>
      </c>
      <c r="M278" s="2">
        <v>0</v>
      </c>
      <c r="N278" s="2">
        <v>0</v>
      </c>
      <c r="O278" s="2">
        <v>490602</v>
      </c>
      <c r="P278" s="1" t="s">
        <v>741</v>
      </c>
      <c r="Q278" s="1" t="s">
        <v>26</v>
      </c>
      <c r="R278" s="1" t="s">
        <v>746</v>
      </c>
      <c r="S278" s="1">
        <v>0</v>
      </c>
      <c r="T278" s="1">
        <v>0</v>
      </c>
      <c r="U278" s="1">
        <f t="shared" si="27"/>
        <v>0</v>
      </c>
      <c r="V278" s="1">
        <v>1</v>
      </c>
      <c r="W278" s="1">
        <f t="shared" si="26"/>
        <v>1</v>
      </c>
      <c r="X278" s="5" t="e">
        <f t="shared" si="25"/>
        <v>#DIV/0!</v>
      </c>
    </row>
    <row r="279" spans="1:24" ht="15" customHeight="1">
      <c r="A279" s="6">
        <v>46054</v>
      </c>
      <c r="B279" s="1" t="s">
        <v>18</v>
      </c>
      <c r="C279" s="1" t="s">
        <v>814</v>
      </c>
      <c r="D279" s="1" t="s">
        <v>815</v>
      </c>
      <c r="E279" s="1" t="s">
        <v>816</v>
      </c>
      <c r="F279" s="1" t="s">
        <v>817</v>
      </c>
      <c r="G279" s="1" t="s">
        <v>817</v>
      </c>
      <c r="H279" s="1" t="s">
        <v>24</v>
      </c>
      <c r="I279" s="2">
        <v>0.76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1" t="s">
        <v>741</v>
      </c>
      <c r="Q279" s="1" t="s">
        <v>26</v>
      </c>
      <c r="R279" s="1" t="s">
        <v>153</v>
      </c>
      <c r="S279" s="1">
        <v>0</v>
      </c>
      <c r="T279" s="1">
        <v>0</v>
      </c>
      <c r="U279" s="1">
        <f t="shared" si="27"/>
        <v>0</v>
      </c>
      <c r="V279" s="1">
        <v>1</v>
      </c>
      <c r="W279" s="1">
        <f t="shared" si="26"/>
        <v>1</v>
      </c>
      <c r="X279" s="5" t="e">
        <f t="shared" si="25"/>
        <v>#DIV/0!</v>
      </c>
    </row>
    <row r="280" spans="1:24" ht="15" customHeight="1">
      <c r="A280" s="6">
        <v>46054</v>
      </c>
      <c r="B280" s="1" t="s">
        <v>18</v>
      </c>
      <c r="C280" s="1" t="s">
        <v>814</v>
      </c>
      <c r="D280" s="1" t="s">
        <v>818</v>
      </c>
      <c r="E280" s="1" t="s">
        <v>819</v>
      </c>
      <c r="F280" s="1" t="s">
        <v>820</v>
      </c>
      <c r="G280" s="1" t="s">
        <v>817</v>
      </c>
      <c r="H280" s="1" t="s">
        <v>24</v>
      </c>
      <c r="I280" s="2">
        <v>1.34</v>
      </c>
      <c r="J280" s="2">
        <v>47924</v>
      </c>
      <c r="K280" s="2">
        <v>0</v>
      </c>
      <c r="L280" s="2">
        <v>0</v>
      </c>
      <c r="M280" s="2">
        <v>0</v>
      </c>
      <c r="N280" s="2">
        <v>0</v>
      </c>
      <c r="O280" s="2">
        <v>47924</v>
      </c>
      <c r="P280" s="1" t="s">
        <v>741</v>
      </c>
      <c r="Q280" s="1" t="s">
        <v>26</v>
      </c>
      <c r="R280" s="1" t="s">
        <v>821</v>
      </c>
      <c r="S280" s="1">
        <v>0</v>
      </c>
      <c r="T280" s="1">
        <v>0</v>
      </c>
      <c r="U280" s="1">
        <f t="shared" si="27"/>
        <v>0</v>
      </c>
      <c r="V280" s="1">
        <v>1</v>
      </c>
      <c r="W280" s="1">
        <f t="shared" si="26"/>
        <v>1</v>
      </c>
      <c r="X280" s="5" t="e">
        <f t="shared" si="25"/>
        <v>#DIV/0!</v>
      </c>
    </row>
    <row r="281" spans="1:24" ht="15" customHeight="1">
      <c r="A281" s="6">
        <v>46054</v>
      </c>
      <c r="B281" s="1" t="s">
        <v>18</v>
      </c>
      <c r="C281" s="1" t="s">
        <v>814</v>
      </c>
      <c r="D281" s="1" t="s">
        <v>822</v>
      </c>
      <c r="E281" s="1" t="s">
        <v>823</v>
      </c>
      <c r="F281" s="1" t="s">
        <v>824</v>
      </c>
      <c r="G281" s="1" t="s">
        <v>817</v>
      </c>
      <c r="H281" s="1" t="s">
        <v>24</v>
      </c>
      <c r="I281" s="2">
        <v>0.66</v>
      </c>
      <c r="J281" s="2">
        <v>45316</v>
      </c>
      <c r="K281" s="2">
        <v>0</v>
      </c>
      <c r="L281" s="2">
        <v>0</v>
      </c>
      <c r="M281" s="2">
        <v>0</v>
      </c>
      <c r="N281" s="2">
        <v>0</v>
      </c>
      <c r="O281" s="2">
        <v>45316</v>
      </c>
      <c r="P281" s="1" t="s">
        <v>741</v>
      </c>
      <c r="Q281" s="1" t="s">
        <v>26</v>
      </c>
      <c r="R281" s="1" t="s">
        <v>44</v>
      </c>
      <c r="S281" s="1">
        <v>0</v>
      </c>
      <c r="T281" s="1">
        <v>0</v>
      </c>
      <c r="U281" s="1">
        <f t="shared" si="27"/>
        <v>0</v>
      </c>
      <c r="V281" s="1">
        <v>1</v>
      </c>
      <c r="W281" s="1">
        <f t="shared" si="26"/>
        <v>1</v>
      </c>
      <c r="X281" s="5" t="e">
        <f t="shared" si="25"/>
        <v>#DIV/0!</v>
      </c>
    </row>
    <row r="282" spans="1:24" ht="15" customHeight="1">
      <c r="A282" s="6">
        <v>46054</v>
      </c>
      <c r="B282" s="1" t="s">
        <v>18</v>
      </c>
      <c r="C282" s="1" t="s">
        <v>825</v>
      </c>
      <c r="D282" s="1" t="s">
        <v>826</v>
      </c>
      <c r="E282" s="1" t="s">
        <v>827</v>
      </c>
      <c r="F282" s="1" t="s">
        <v>828</v>
      </c>
      <c r="G282" s="1" t="s">
        <v>829</v>
      </c>
      <c r="H282" s="1" t="s">
        <v>24</v>
      </c>
      <c r="I282" s="2">
        <v>3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1" t="s">
        <v>830</v>
      </c>
      <c r="Q282" s="1" t="s">
        <v>26</v>
      </c>
      <c r="R282" s="1" t="s">
        <v>821</v>
      </c>
      <c r="S282" s="1">
        <v>0</v>
      </c>
      <c r="T282" s="1">
        <v>0</v>
      </c>
      <c r="U282" s="1">
        <f t="shared" si="27"/>
        <v>0</v>
      </c>
      <c r="V282" s="1">
        <v>1</v>
      </c>
      <c r="W282" s="1">
        <f t="shared" si="26"/>
        <v>1</v>
      </c>
      <c r="X282" s="5" t="e">
        <f t="shared" si="25"/>
        <v>#DIV/0!</v>
      </c>
    </row>
    <row r="283" spans="1:24" ht="15" customHeight="1">
      <c r="A283" s="6">
        <v>46054</v>
      </c>
      <c r="B283" s="1" t="s">
        <v>18</v>
      </c>
      <c r="C283" s="1" t="s">
        <v>825</v>
      </c>
      <c r="D283" s="1" t="s">
        <v>831</v>
      </c>
      <c r="E283" s="1" t="s">
        <v>832</v>
      </c>
      <c r="F283" s="1" t="s">
        <v>833</v>
      </c>
      <c r="G283" s="1"/>
      <c r="H283" s="1" t="s">
        <v>24</v>
      </c>
      <c r="I283" s="2">
        <v>1.85</v>
      </c>
      <c r="J283" s="2">
        <v>287718</v>
      </c>
      <c r="K283" s="2">
        <v>4384</v>
      </c>
      <c r="L283" s="2">
        <v>0</v>
      </c>
      <c r="M283" s="2">
        <v>0</v>
      </c>
      <c r="N283" s="2">
        <v>482</v>
      </c>
      <c r="O283" s="2">
        <v>292584</v>
      </c>
      <c r="P283" s="1" t="s">
        <v>830</v>
      </c>
      <c r="Q283" s="1" t="s">
        <v>35</v>
      </c>
      <c r="R283" s="1" t="s">
        <v>153</v>
      </c>
      <c r="S283" s="1">
        <v>1</v>
      </c>
      <c r="T283" s="1">
        <v>0</v>
      </c>
      <c r="U283" s="1">
        <f t="shared" si="27"/>
        <v>1</v>
      </c>
      <c r="V283" s="1">
        <v>0</v>
      </c>
      <c r="W283" s="1">
        <f t="shared" si="26"/>
        <v>1</v>
      </c>
      <c r="X283" s="5">
        <f t="shared" si="25"/>
        <v>100</v>
      </c>
    </row>
    <row r="284" spans="1:24" ht="15" customHeight="1">
      <c r="A284" s="6">
        <v>46054</v>
      </c>
      <c r="B284" s="1" t="s">
        <v>18</v>
      </c>
      <c r="C284" s="1" t="s">
        <v>825</v>
      </c>
      <c r="D284" s="1" t="s">
        <v>834</v>
      </c>
      <c r="E284" s="1" t="s">
        <v>823</v>
      </c>
      <c r="F284" s="1" t="s">
        <v>835</v>
      </c>
      <c r="G284" s="1" t="s">
        <v>835</v>
      </c>
      <c r="H284" s="1" t="s">
        <v>24</v>
      </c>
      <c r="I284" s="2">
        <v>2</v>
      </c>
      <c r="J284" s="2">
        <v>497343</v>
      </c>
      <c r="K284" s="2">
        <v>3236</v>
      </c>
      <c r="L284" s="2">
        <v>0</v>
      </c>
      <c r="M284" s="2">
        <v>0</v>
      </c>
      <c r="N284" s="2">
        <v>620</v>
      </c>
      <c r="O284" s="2">
        <v>501199</v>
      </c>
      <c r="P284" s="1" t="s">
        <v>830</v>
      </c>
      <c r="Q284" s="1" t="s">
        <v>35</v>
      </c>
      <c r="R284" s="1" t="s">
        <v>836</v>
      </c>
      <c r="S284" s="1">
        <v>1</v>
      </c>
      <c r="T284" s="1">
        <v>0</v>
      </c>
      <c r="U284" s="1">
        <f t="shared" si="27"/>
        <v>1</v>
      </c>
      <c r="V284" s="1">
        <v>0</v>
      </c>
      <c r="W284" s="1">
        <f t="shared" si="26"/>
        <v>1</v>
      </c>
      <c r="X284" s="5">
        <f t="shared" si="25"/>
        <v>100</v>
      </c>
    </row>
    <row r="285" spans="1:24" ht="15" customHeight="1">
      <c r="A285" s="6">
        <v>46054</v>
      </c>
      <c r="B285" s="1" t="s">
        <v>49</v>
      </c>
      <c r="C285" s="1" t="s">
        <v>825</v>
      </c>
      <c r="D285" s="1" t="s">
        <v>837</v>
      </c>
      <c r="E285" s="1" t="s">
        <v>838</v>
      </c>
      <c r="F285" s="1" t="s">
        <v>833</v>
      </c>
      <c r="G285" s="1" t="s">
        <v>839</v>
      </c>
      <c r="H285" s="1" t="s">
        <v>54</v>
      </c>
      <c r="I285" s="2">
        <v>10</v>
      </c>
      <c r="J285" s="2">
        <v>4495661</v>
      </c>
      <c r="K285" s="2">
        <v>119122</v>
      </c>
      <c r="L285" s="2">
        <v>0</v>
      </c>
      <c r="M285" s="2">
        <v>0</v>
      </c>
      <c r="N285" s="2">
        <v>15247</v>
      </c>
      <c r="O285" s="2">
        <v>4630030</v>
      </c>
      <c r="P285" s="1" t="s">
        <v>840</v>
      </c>
      <c r="Q285" s="1" t="s">
        <v>35</v>
      </c>
      <c r="R285" s="1" t="s">
        <v>66</v>
      </c>
      <c r="S285" s="1">
        <v>0</v>
      </c>
      <c r="T285" s="1">
        <v>1</v>
      </c>
      <c r="U285" s="1">
        <f t="shared" si="27"/>
        <v>1</v>
      </c>
      <c r="V285" s="1">
        <v>0</v>
      </c>
      <c r="W285" s="1">
        <f t="shared" si="26"/>
        <v>1</v>
      </c>
      <c r="X285" s="5">
        <f t="shared" si="25"/>
        <v>0</v>
      </c>
    </row>
    <row r="286" spans="1:24" ht="15" customHeight="1">
      <c r="A286" s="6">
        <v>46054</v>
      </c>
      <c r="B286" s="1" t="s">
        <v>61</v>
      </c>
      <c r="C286" s="1" t="s">
        <v>825</v>
      </c>
      <c r="D286" s="1" t="s">
        <v>841</v>
      </c>
      <c r="E286" s="1" t="s">
        <v>842</v>
      </c>
      <c r="F286" s="1" t="s">
        <v>843</v>
      </c>
      <c r="G286" s="1" t="s">
        <v>843</v>
      </c>
      <c r="H286" s="1" t="s">
        <v>24</v>
      </c>
      <c r="I286" s="2">
        <v>7</v>
      </c>
      <c r="J286" s="2">
        <v>203517</v>
      </c>
      <c r="K286" s="2">
        <v>5793</v>
      </c>
      <c r="L286" s="2">
        <v>0</v>
      </c>
      <c r="M286" s="2">
        <v>0</v>
      </c>
      <c r="N286" s="2">
        <v>241</v>
      </c>
      <c r="O286" s="2">
        <v>209551</v>
      </c>
      <c r="P286" s="1" t="s">
        <v>840</v>
      </c>
      <c r="Q286" s="1" t="s">
        <v>35</v>
      </c>
      <c r="R286" s="1" t="s">
        <v>66</v>
      </c>
      <c r="S286" s="1">
        <v>0</v>
      </c>
      <c r="T286" s="1">
        <v>1</v>
      </c>
      <c r="U286" s="1">
        <f t="shared" si="27"/>
        <v>1</v>
      </c>
      <c r="V286" s="1">
        <v>0</v>
      </c>
      <c r="W286" s="1">
        <f t="shared" si="26"/>
        <v>1</v>
      </c>
      <c r="X286" s="5">
        <f t="shared" si="25"/>
        <v>0</v>
      </c>
    </row>
    <row r="287" spans="1:24" ht="15" customHeight="1">
      <c r="A287" s="6">
        <v>46054</v>
      </c>
      <c r="B287" s="1" t="s">
        <v>61</v>
      </c>
      <c r="C287" s="1" t="s">
        <v>825</v>
      </c>
      <c r="D287" s="1" t="s">
        <v>844</v>
      </c>
      <c r="E287" s="1" t="s">
        <v>845</v>
      </c>
      <c r="F287" s="1" t="s">
        <v>846</v>
      </c>
      <c r="G287" s="1" t="s">
        <v>839</v>
      </c>
      <c r="H287" s="1" t="s">
        <v>24</v>
      </c>
      <c r="I287" s="2">
        <v>11.19</v>
      </c>
      <c r="J287" s="2">
        <v>6781414</v>
      </c>
      <c r="K287" s="2">
        <v>1180</v>
      </c>
      <c r="L287" s="2">
        <v>0</v>
      </c>
      <c r="M287" s="2">
        <v>0</v>
      </c>
      <c r="N287" s="2">
        <v>50</v>
      </c>
      <c r="O287" s="2">
        <v>6782644</v>
      </c>
      <c r="P287" s="1" t="s">
        <v>840</v>
      </c>
      <c r="Q287" s="1" t="s">
        <v>35</v>
      </c>
      <c r="R287" s="1" t="s">
        <v>527</v>
      </c>
      <c r="S287" s="1">
        <v>0</v>
      </c>
      <c r="T287" s="1">
        <v>1</v>
      </c>
      <c r="U287" s="1">
        <f t="shared" si="27"/>
        <v>1</v>
      </c>
      <c r="V287" s="1">
        <v>0</v>
      </c>
      <c r="W287" s="1">
        <f t="shared" si="26"/>
        <v>1</v>
      </c>
      <c r="X287" s="5">
        <f t="shared" si="25"/>
        <v>0</v>
      </c>
    </row>
    <row r="288" spans="1:24" ht="15" customHeight="1">
      <c r="A288" s="6">
        <v>46054</v>
      </c>
      <c r="B288" s="1" t="s">
        <v>18</v>
      </c>
      <c r="C288" s="1" t="s">
        <v>847</v>
      </c>
      <c r="D288" s="1" t="s">
        <v>848</v>
      </c>
      <c r="E288" s="1" t="s">
        <v>849</v>
      </c>
      <c r="F288" s="1" t="s">
        <v>850</v>
      </c>
      <c r="G288" s="1"/>
      <c r="H288" s="1" t="s">
        <v>24</v>
      </c>
      <c r="I288" s="2">
        <v>1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1" t="s">
        <v>851</v>
      </c>
      <c r="Q288" s="1" t="s">
        <v>26</v>
      </c>
      <c r="R288" s="1" t="s">
        <v>66</v>
      </c>
      <c r="S288" s="1">
        <v>0</v>
      </c>
      <c r="T288" s="1">
        <v>0</v>
      </c>
      <c r="U288" s="1">
        <f t="shared" si="27"/>
        <v>0</v>
      </c>
      <c r="V288" s="1">
        <v>1</v>
      </c>
      <c r="W288" s="1">
        <f t="shared" si="26"/>
        <v>1</v>
      </c>
      <c r="X288" s="5" t="e">
        <f t="shared" si="25"/>
        <v>#DIV/0!</v>
      </c>
    </row>
    <row r="289" spans="1:24" ht="15" customHeight="1">
      <c r="A289" s="6">
        <v>46054</v>
      </c>
      <c r="B289" s="1" t="s">
        <v>18</v>
      </c>
      <c r="C289" s="1" t="s">
        <v>847</v>
      </c>
      <c r="D289" s="1" t="s">
        <v>852</v>
      </c>
      <c r="E289" s="1" t="s">
        <v>849</v>
      </c>
      <c r="F289" s="1" t="s">
        <v>850</v>
      </c>
      <c r="G289" s="1"/>
      <c r="H289" s="1" t="s">
        <v>24</v>
      </c>
      <c r="I289" s="2">
        <v>1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1" t="s">
        <v>851</v>
      </c>
      <c r="Q289" s="1" t="s">
        <v>26</v>
      </c>
      <c r="R289" s="1" t="s">
        <v>66</v>
      </c>
      <c r="S289" s="1">
        <v>0</v>
      </c>
      <c r="T289" s="1">
        <v>0</v>
      </c>
      <c r="U289" s="1">
        <f t="shared" si="27"/>
        <v>0</v>
      </c>
      <c r="V289" s="1">
        <v>1</v>
      </c>
      <c r="W289" s="1">
        <f t="shared" si="26"/>
        <v>1</v>
      </c>
      <c r="X289" s="5" t="e">
        <f t="shared" si="25"/>
        <v>#DIV/0!</v>
      </c>
    </row>
    <row r="290" spans="1:24" ht="15" customHeight="1">
      <c r="A290" s="6">
        <v>46054</v>
      </c>
      <c r="B290" s="1" t="s">
        <v>18</v>
      </c>
      <c r="C290" s="1" t="s">
        <v>847</v>
      </c>
      <c r="D290" s="1" t="s">
        <v>853</v>
      </c>
      <c r="E290" s="1" t="s">
        <v>854</v>
      </c>
      <c r="F290" s="1"/>
      <c r="G290" s="1"/>
      <c r="H290" s="1" t="s">
        <v>24</v>
      </c>
      <c r="I290" s="2">
        <v>1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1" t="s">
        <v>855</v>
      </c>
      <c r="Q290" s="1" t="s">
        <v>26</v>
      </c>
      <c r="R290" s="1" t="s">
        <v>821</v>
      </c>
      <c r="S290" s="1">
        <v>0</v>
      </c>
      <c r="T290" s="1">
        <v>0</v>
      </c>
      <c r="U290" s="1">
        <f t="shared" si="27"/>
        <v>0</v>
      </c>
      <c r="V290" s="1">
        <v>1</v>
      </c>
      <c r="W290" s="1">
        <f t="shared" si="26"/>
        <v>1</v>
      </c>
      <c r="X290" s="5" t="e">
        <f t="shared" si="25"/>
        <v>#DIV/0!</v>
      </c>
    </row>
    <row r="291" spans="1:24" ht="15" customHeight="1">
      <c r="A291" s="6">
        <v>46054</v>
      </c>
      <c r="B291" s="1" t="s">
        <v>18</v>
      </c>
      <c r="C291" s="1" t="s">
        <v>847</v>
      </c>
      <c r="D291" s="1" t="s">
        <v>856</v>
      </c>
      <c r="E291" s="1" t="s">
        <v>849</v>
      </c>
      <c r="F291" s="1" t="s">
        <v>850</v>
      </c>
      <c r="G291" s="1"/>
      <c r="H291" s="1" t="s">
        <v>24</v>
      </c>
      <c r="I291" s="2">
        <v>1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1" t="s">
        <v>851</v>
      </c>
      <c r="Q291" s="1" t="s">
        <v>26</v>
      </c>
      <c r="R291" s="1" t="s">
        <v>153</v>
      </c>
      <c r="S291" s="1">
        <v>0</v>
      </c>
      <c r="T291" s="1">
        <v>0</v>
      </c>
      <c r="U291" s="1">
        <f t="shared" si="27"/>
        <v>0</v>
      </c>
      <c r="V291" s="1">
        <v>1</v>
      </c>
      <c r="W291" s="1">
        <f t="shared" si="26"/>
        <v>1</v>
      </c>
      <c r="X291" s="5" t="e">
        <f t="shared" si="25"/>
        <v>#DIV/0!</v>
      </c>
    </row>
    <row r="292" spans="1:24" ht="15" customHeight="1">
      <c r="A292" s="6">
        <v>46054</v>
      </c>
      <c r="B292" s="1" t="s">
        <v>18</v>
      </c>
      <c r="C292" s="1" t="s">
        <v>847</v>
      </c>
      <c r="D292" s="1" t="s">
        <v>857</v>
      </c>
      <c r="E292" s="1" t="s">
        <v>858</v>
      </c>
      <c r="F292" s="1"/>
      <c r="G292" s="1"/>
      <c r="H292" s="1" t="s">
        <v>24</v>
      </c>
      <c r="I292" s="2">
        <v>1</v>
      </c>
      <c r="J292" s="2">
        <v>-4381</v>
      </c>
      <c r="K292" s="2">
        <v>0</v>
      </c>
      <c r="L292" s="2">
        <v>0</v>
      </c>
      <c r="M292" s="2">
        <v>0</v>
      </c>
      <c r="N292" s="2">
        <v>0</v>
      </c>
      <c r="O292" s="2">
        <v>-4381</v>
      </c>
      <c r="P292" s="1" t="s">
        <v>851</v>
      </c>
      <c r="Q292" s="1" t="s">
        <v>26</v>
      </c>
      <c r="R292" s="1" t="s">
        <v>153</v>
      </c>
      <c r="S292" s="1">
        <v>0</v>
      </c>
      <c r="T292" s="1">
        <v>0</v>
      </c>
      <c r="U292" s="1">
        <f t="shared" si="27"/>
        <v>0</v>
      </c>
      <c r="V292" s="1">
        <v>1</v>
      </c>
      <c r="W292" s="1">
        <f t="shared" si="26"/>
        <v>1</v>
      </c>
      <c r="X292" s="5" t="e">
        <f t="shared" si="25"/>
        <v>#DIV/0!</v>
      </c>
    </row>
    <row r="293" spans="1:24" ht="15" customHeight="1">
      <c r="A293" s="6">
        <v>46054</v>
      </c>
      <c r="B293" s="1" t="s">
        <v>18</v>
      </c>
      <c r="C293" s="1" t="s">
        <v>847</v>
      </c>
      <c r="D293" s="1" t="s">
        <v>859</v>
      </c>
      <c r="E293" s="1" t="s">
        <v>860</v>
      </c>
      <c r="F293" s="1" t="s">
        <v>861</v>
      </c>
      <c r="G293" s="1" t="s">
        <v>850</v>
      </c>
      <c r="H293" s="1" t="s">
        <v>24</v>
      </c>
      <c r="I293" s="2">
        <v>1</v>
      </c>
      <c r="J293" s="2">
        <v>-2453</v>
      </c>
      <c r="K293" s="2">
        <v>0</v>
      </c>
      <c r="L293" s="2">
        <v>0</v>
      </c>
      <c r="M293" s="2">
        <v>0</v>
      </c>
      <c r="N293" s="2">
        <v>0</v>
      </c>
      <c r="O293" s="2">
        <v>-2453</v>
      </c>
      <c r="P293" s="1" t="s">
        <v>855</v>
      </c>
      <c r="Q293" s="1" t="s">
        <v>26</v>
      </c>
      <c r="R293" s="1" t="s">
        <v>153</v>
      </c>
      <c r="S293" s="1">
        <v>0</v>
      </c>
      <c r="T293" s="1">
        <v>0</v>
      </c>
      <c r="U293" s="1">
        <f t="shared" si="27"/>
        <v>0</v>
      </c>
      <c r="V293" s="1">
        <v>1</v>
      </c>
      <c r="W293" s="1">
        <f t="shared" si="26"/>
        <v>1</v>
      </c>
      <c r="X293" s="5" t="e">
        <f t="shared" si="25"/>
        <v>#DIV/0!</v>
      </c>
    </row>
    <row r="294" spans="1:24" ht="15" customHeight="1">
      <c r="A294" s="6">
        <v>46054</v>
      </c>
      <c r="B294" s="1" t="s">
        <v>18</v>
      </c>
      <c r="C294" s="1" t="s">
        <v>847</v>
      </c>
      <c r="D294" s="1" t="s">
        <v>862</v>
      </c>
      <c r="E294" s="1" t="s">
        <v>849</v>
      </c>
      <c r="F294" s="1" t="s">
        <v>850</v>
      </c>
      <c r="G294" s="1"/>
      <c r="H294" s="1" t="s">
        <v>24</v>
      </c>
      <c r="I294" s="2">
        <v>1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1" t="s">
        <v>851</v>
      </c>
      <c r="Q294" s="1" t="s">
        <v>26</v>
      </c>
      <c r="R294" s="1" t="s">
        <v>153</v>
      </c>
      <c r="S294" s="1">
        <v>0</v>
      </c>
      <c r="T294" s="1">
        <v>0</v>
      </c>
      <c r="U294" s="1">
        <f t="shared" si="27"/>
        <v>0</v>
      </c>
      <c r="V294" s="1">
        <v>1</v>
      </c>
      <c r="W294" s="1">
        <f t="shared" si="26"/>
        <v>1</v>
      </c>
      <c r="X294" s="5" t="e">
        <f t="shared" si="25"/>
        <v>#DIV/0!</v>
      </c>
    </row>
    <row r="295" spans="1:24">
      <c r="A295" s="6">
        <v>46054</v>
      </c>
      <c r="B295" s="1" t="s">
        <v>49</v>
      </c>
      <c r="C295" s="1" t="s">
        <v>847</v>
      </c>
      <c r="D295" s="1" t="s">
        <v>865</v>
      </c>
      <c r="E295" s="1" t="s">
        <v>866</v>
      </c>
      <c r="F295" s="1" t="s">
        <v>867</v>
      </c>
      <c r="G295" s="1" t="s">
        <v>850</v>
      </c>
      <c r="H295" s="1" t="s">
        <v>54</v>
      </c>
      <c r="I295" s="2">
        <v>7.56</v>
      </c>
      <c r="J295" s="2">
        <v>580969</v>
      </c>
      <c r="K295" s="2">
        <v>2974</v>
      </c>
      <c r="L295" s="2">
        <v>0</v>
      </c>
      <c r="M295" s="2">
        <v>0</v>
      </c>
      <c r="N295" s="2">
        <v>375</v>
      </c>
      <c r="O295" s="2">
        <v>584318</v>
      </c>
      <c r="P295" s="1" t="s">
        <v>851</v>
      </c>
      <c r="Q295" s="1" t="s">
        <v>35</v>
      </c>
      <c r="R295" s="1" t="s">
        <v>66</v>
      </c>
      <c r="S295" s="1">
        <v>1</v>
      </c>
      <c r="T295" s="1">
        <v>0</v>
      </c>
      <c r="U295" s="1">
        <f t="shared" si="27"/>
        <v>1</v>
      </c>
      <c r="V295" s="1">
        <v>0</v>
      </c>
      <c r="W295" s="1">
        <f t="shared" si="26"/>
        <v>1</v>
      </c>
      <c r="X295" s="5">
        <f t="shared" si="25"/>
        <v>100</v>
      </c>
    </row>
    <row r="296" spans="1:24" ht="15" customHeight="1">
      <c r="A296" s="6">
        <v>46054</v>
      </c>
      <c r="B296" s="1" t="s">
        <v>49</v>
      </c>
      <c r="C296" s="1" t="s">
        <v>847</v>
      </c>
      <c r="D296" s="1" t="s">
        <v>868</v>
      </c>
      <c r="E296" s="1" t="s">
        <v>120</v>
      </c>
      <c r="F296" s="1" t="s">
        <v>169</v>
      </c>
      <c r="G296" s="1" t="s">
        <v>850</v>
      </c>
      <c r="H296" s="1" t="s">
        <v>54</v>
      </c>
      <c r="I296" s="2">
        <v>1</v>
      </c>
      <c r="J296" s="2">
        <v>10000</v>
      </c>
      <c r="K296" s="2">
        <v>0</v>
      </c>
      <c r="L296" s="2">
        <v>0</v>
      </c>
      <c r="M296" s="2">
        <v>0</v>
      </c>
      <c r="N296" s="2">
        <v>0</v>
      </c>
      <c r="O296" s="2">
        <v>10000</v>
      </c>
      <c r="P296" s="1" t="s">
        <v>851</v>
      </c>
      <c r="Q296" s="1" t="s">
        <v>26</v>
      </c>
      <c r="R296" s="1" t="s">
        <v>153</v>
      </c>
      <c r="S296" s="1">
        <v>0</v>
      </c>
      <c r="T296" s="1">
        <v>1</v>
      </c>
      <c r="U296" s="1">
        <f t="shared" si="27"/>
        <v>1</v>
      </c>
      <c r="V296" s="1">
        <v>0</v>
      </c>
      <c r="W296" s="1">
        <f t="shared" si="26"/>
        <v>1</v>
      </c>
      <c r="X296" s="5">
        <f t="shared" si="25"/>
        <v>0</v>
      </c>
    </row>
    <row r="297" spans="1:24" ht="15" customHeight="1">
      <c r="A297" s="6">
        <v>46054</v>
      </c>
      <c r="B297" s="1" t="s">
        <v>61</v>
      </c>
      <c r="C297" s="1" t="s">
        <v>847</v>
      </c>
      <c r="D297" s="1" t="s">
        <v>863</v>
      </c>
      <c r="E297" s="1" t="s">
        <v>860</v>
      </c>
      <c r="F297" s="1" t="s">
        <v>864</v>
      </c>
      <c r="G297" s="1" t="s">
        <v>850</v>
      </c>
      <c r="H297" s="1" t="s">
        <v>24</v>
      </c>
      <c r="I297" s="2">
        <v>7</v>
      </c>
      <c r="J297" s="2">
        <v>1069906</v>
      </c>
      <c r="K297" s="2">
        <v>60733</v>
      </c>
      <c r="L297" s="2">
        <v>0</v>
      </c>
      <c r="M297" s="2">
        <v>0</v>
      </c>
      <c r="N297" s="2">
        <v>2559</v>
      </c>
      <c r="O297" s="2">
        <v>1133198</v>
      </c>
      <c r="P297" s="1" t="s">
        <v>855</v>
      </c>
      <c r="Q297" s="1" t="s">
        <v>35</v>
      </c>
      <c r="R297" s="1" t="s">
        <v>153</v>
      </c>
      <c r="S297" s="1">
        <v>0</v>
      </c>
      <c r="T297" s="1">
        <v>0</v>
      </c>
      <c r="U297" s="1">
        <f t="shared" si="27"/>
        <v>0</v>
      </c>
      <c r="V297" s="1">
        <v>1</v>
      </c>
      <c r="W297" s="1">
        <f t="shared" si="26"/>
        <v>1</v>
      </c>
      <c r="X297" s="5" t="e">
        <f t="shared" si="25"/>
        <v>#DIV/0!</v>
      </c>
    </row>
    <row r="298" spans="1:24" ht="15" customHeight="1">
      <c r="A298" s="6">
        <v>46054</v>
      </c>
      <c r="B298" s="1" t="s">
        <v>18</v>
      </c>
      <c r="C298" s="1" t="s">
        <v>869</v>
      </c>
      <c r="D298" s="1" t="s">
        <v>870</v>
      </c>
      <c r="E298" s="1" t="s">
        <v>871</v>
      </c>
      <c r="F298" s="1" t="s">
        <v>872</v>
      </c>
      <c r="G298" s="1" t="s">
        <v>873</v>
      </c>
      <c r="H298" s="1" t="s">
        <v>24</v>
      </c>
      <c r="I298" s="2">
        <v>2</v>
      </c>
      <c r="J298" s="2">
        <v>595670</v>
      </c>
      <c r="K298" s="2">
        <v>2874</v>
      </c>
      <c r="L298" s="2">
        <v>0</v>
      </c>
      <c r="M298" s="2">
        <v>0</v>
      </c>
      <c r="N298" s="2">
        <v>206</v>
      </c>
      <c r="O298" s="2">
        <v>598750</v>
      </c>
      <c r="P298" s="1" t="s">
        <v>830</v>
      </c>
      <c r="Q298" s="1" t="s">
        <v>35</v>
      </c>
      <c r="R298" s="1" t="s">
        <v>153</v>
      </c>
      <c r="S298" s="1">
        <v>0</v>
      </c>
      <c r="T298" s="1">
        <v>1</v>
      </c>
      <c r="U298" s="1">
        <f t="shared" si="27"/>
        <v>1</v>
      </c>
      <c r="V298" s="1">
        <v>0</v>
      </c>
      <c r="W298" s="1">
        <f t="shared" si="26"/>
        <v>1</v>
      </c>
      <c r="X298" s="5">
        <f t="shared" si="25"/>
        <v>0</v>
      </c>
    </row>
    <row r="299" spans="1:24" ht="15" customHeight="1">
      <c r="A299" s="6">
        <v>46054</v>
      </c>
      <c r="B299" s="1" t="s">
        <v>18</v>
      </c>
      <c r="C299" s="1" t="s">
        <v>869</v>
      </c>
      <c r="D299" s="1" t="s">
        <v>874</v>
      </c>
      <c r="E299" s="1" t="s">
        <v>875</v>
      </c>
      <c r="F299" s="1" t="s">
        <v>873</v>
      </c>
      <c r="G299" s="1"/>
      <c r="H299" s="1" t="s">
        <v>24</v>
      </c>
      <c r="I299" s="2">
        <v>3</v>
      </c>
      <c r="J299" s="2">
        <v>2123854</v>
      </c>
      <c r="K299" s="2">
        <v>30976</v>
      </c>
      <c r="L299" s="2">
        <v>0</v>
      </c>
      <c r="M299" s="2">
        <v>0</v>
      </c>
      <c r="N299" s="2">
        <v>5046</v>
      </c>
      <c r="O299" s="2">
        <v>2159876</v>
      </c>
      <c r="P299" s="1" t="s">
        <v>830</v>
      </c>
      <c r="Q299" s="1" t="s">
        <v>35</v>
      </c>
      <c r="R299" s="1" t="s">
        <v>153</v>
      </c>
      <c r="S299" s="1">
        <v>1</v>
      </c>
      <c r="T299" s="1">
        <v>0</v>
      </c>
      <c r="U299" s="1">
        <f t="shared" si="27"/>
        <v>1</v>
      </c>
      <c r="V299" s="1">
        <v>0</v>
      </c>
      <c r="W299" s="1">
        <f t="shared" si="26"/>
        <v>1</v>
      </c>
      <c r="X299" s="5">
        <f t="shared" si="25"/>
        <v>100</v>
      </c>
    </row>
    <row r="300" spans="1:24" ht="15" customHeight="1">
      <c r="A300" s="6">
        <v>46054</v>
      </c>
      <c r="B300" s="1" t="s">
        <v>18</v>
      </c>
      <c r="C300" s="1" t="s">
        <v>869</v>
      </c>
      <c r="D300" s="1" t="s">
        <v>876</v>
      </c>
      <c r="E300" s="1" t="s">
        <v>877</v>
      </c>
      <c r="F300" s="1" t="s">
        <v>878</v>
      </c>
      <c r="G300" s="1"/>
      <c r="H300" s="1" t="s">
        <v>24</v>
      </c>
      <c r="I300" s="2">
        <v>4.2</v>
      </c>
      <c r="J300" s="2">
        <v>30643</v>
      </c>
      <c r="K300" s="2">
        <v>8824</v>
      </c>
      <c r="L300" s="2">
        <v>0</v>
      </c>
      <c r="M300" s="2">
        <v>0</v>
      </c>
      <c r="N300" s="2">
        <v>1132</v>
      </c>
      <c r="O300" s="2">
        <v>40599</v>
      </c>
      <c r="P300" s="1" t="s">
        <v>830</v>
      </c>
      <c r="Q300" s="1" t="s">
        <v>35</v>
      </c>
      <c r="R300" s="1" t="s">
        <v>153</v>
      </c>
      <c r="S300" s="1">
        <v>1</v>
      </c>
      <c r="T300" s="1">
        <v>0</v>
      </c>
      <c r="U300" s="1">
        <f t="shared" si="27"/>
        <v>1</v>
      </c>
      <c r="V300" s="1">
        <v>0</v>
      </c>
      <c r="W300" s="1">
        <f t="shared" si="26"/>
        <v>1</v>
      </c>
      <c r="X300" s="5">
        <f t="shared" si="25"/>
        <v>100</v>
      </c>
    </row>
    <row r="301" spans="1:24">
      <c r="A301" s="6">
        <v>46054</v>
      </c>
      <c r="B301" s="1" t="s">
        <v>18</v>
      </c>
      <c r="C301" s="1" t="s">
        <v>869</v>
      </c>
      <c r="D301" s="1" t="s">
        <v>879</v>
      </c>
      <c r="E301" s="1" t="s">
        <v>880</v>
      </c>
      <c r="F301" s="1" t="s">
        <v>873</v>
      </c>
      <c r="G301" s="1" t="s">
        <v>873</v>
      </c>
      <c r="H301" s="1" t="s">
        <v>24</v>
      </c>
      <c r="I301" s="2">
        <v>2.5</v>
      </c>
      <c r="J301" s="2">
        <v>366748</v>
      </c>
      <c r="K301" s="2">
        <v>1180</v>
      </c>
      <c r="L301" s="2">
        <v>0</v>
      </c>
      <c r="M301" s="2">
        <v>0</v>
      </c>
      <c r="N301" s="2">
        <v>100</v>
      </c>
      <c r="O301" s="2">
        <v>368028</v>
      </c>
      <c r="P301" s="1" t="s">
        <v>830</v>
      </c>
      <c r="Q301" s="1" t="s">
        <v>35</v>
      </c>
      <c r="R301" s="1" t="s">
        <v>153</v>
      </c>
      <c r="S301" s="1">
        <v>1</v>
      </c>
      <c r="T301" s="1">
        <v>0</v>
      </c>
      <c r="U301" s="1">
        <f t="shared" si="27"/>
        <v>1</v>
      </c>
      <c r="V301" s="1">
        <v>0</v>
      </c>
      <c r="W301" s="1">
        <f t="shared" si="26"/>
        <v>1</v>
      </c>
      <c r="X301" s="5">
        <f t="shared" si="25"/>
        <v>100</v>
      </c>
    </row>
    <row r="302" spans="1:24" ht="15" customHeight="1">
      <c r="A302" s="6">
        <v>46054</v>
      </c>
      <c r="B302" s="1" t="s">
        <v>18</v>
      </c>
      <c r="C302" s="1" t="s">
        <v>869</v>
      </c>
      <c r="D302" s="1" t="s">
        <v>881</v>
      </c>
      <c r="E302" s="1" t="s">
        <v>882</v>
      </c>
      <c r="F302" s="1" t="s">
        <v>883</v>
      </c>
      <c r="G302" s="1" t="s">
        <v>884</v>
      </c>
      <c r="H302" s="1" t="s">
        <v>24</v>
      </c>
      <c r="I302" s="2">
        <v>3</v>
      </c>
      <c r="J302" s="2">
        <v>219561</v>
      </c>
      <c r="K302" s="2">
        <v>0</v>
      </c>
      <c r="L302" s="2">
        <v>0</v>
      </c>
      <c r="M302" s="2">
        <v>0</v>
      </c>
      <c r="N302" s="2">
        <v>0</v>
      </c>
      <c r="O302" s="2">
        <v>219561</v>
      </c>
      <c r="P302" s="1" t="s">
        <v>830</v>
      </c>
      <c r="Q302" s="1" t="s">
        <v>26</v>
      </c>
      <c r="R302" s="1" t="s">
        <v>153</v>
      </c>
      <c r="S302" s="1">
        <v>0</v>
      </c>
      <c r="T302" s="1">
        <v>0</v>
      </c>
      <c r="U302" s="1">
        <f t="shared" si="27"/>
        <v>0</v>
      </c>
      <c r="V302" s="1">
        <v>1</v>
      </c>
      <c r="W302" s="1">
        <f t="shared" si="26"/>
        <v>1</v>
      </c>
      <c r="X302" s="5" t="e">
        <f t="shared" si="25"/>
        <v>#DIV/0!</v>
      </c>
    </row>
    <row r="303" spans="1:24" ht="15" customHeight="1">
      <c r="A303" s="6">
        <v>46054</v>
      </c>
      <c r="B303" s="1" t="s">
        <v>18</v>
      </c>
      <c r="C303" s="1" t="s">
        <v>869</v>
      </c>
      <c r="D303" s="1" t="s">
        <v>885</v>
      </c>
      <c r="E303" s="1" t="s">
        <v>886</v>
      </c>
      <c r="F303" s="1" t="s">
        <v>887</v>
      </c>
      <c r="G303" s="1" t="s">
        <v>873</v>
      </c>
      <c r="H303" s="1" t="s">
        <v>60</v>
      </c>
      <c r="I303" s="2">
        <v>3</v>
      </c>
      <c r="J303" s="2">
        <v>583830</v>
      </c>
      <c r="K303" s="2">
        <v>1180</v>
      </c>
      <c r="L303" s="2">
        <v>0</v>
      </c>
      <c r="M303" s="2">
        <v>0</v>
      </c>
      <c r="N303" s="2">
        <v>100</v>
      </c>
      <c r="O303" s="2">
        <v>585110</v>
      </c>
      <c r="P303" s="1" t="s">
        <v>830</v>
      </c>
      <c r="Q303" s="1" t="s">
        <v>35</v>
      </c>
      <c r="R303" s="1" t="s">
        <v>888</v>
      </c>
      <c r="S303" s="1">
        <v>0</v>
      </c>
      <c r="T303" s="1">
        <v>1</v>
      </c>
      <c r="U303" s="1">
        <f t="shared" si="27"/>
        <v>1</v>
      </c>
      <c r="V303" s="1">
        <v>0</v>
      </c>
      <c r="W303" s="1">
        <f t="shared" si="26"/>
        <v>1</v>
      </c>
      <c r="X303" s="5">
        <f t="shared" si="25"/>
        <v>0</v>
      </c>
    </row>
    <row r="304" spans="1:24" ht="15" customHeight="1">
      <c r="A304" s="6">
        <v>46054</v>
      </c>
      <c r="B304" s="1" t="s">
        <v>18</v>
      </c>
      <c r="C304" s="1" t="s">
        <v>869</v>
      </c>
      <c r="D304" s="1" t="s">
        <v>889</v>
      </c>
      <c r="E304" s="1" t="s">
        <v>890</v>
      </c>
      <c r="F304" s="1" t="s">
        <v>891</v>
      </c>
      <c r="G304" s="1" t="s">
        <v>873</v>
      </c>
      <c r="H304" s="1" t="s">
        <v>24</v>
      </c>
      <c r="I304" s="2">
        <v>3</v>
      </c>
      <c r="J304" s="2">
        <v>445243</v>
      </c>
      <c r="K304" s="2">
        <v>1180</v>
      </c>
      <c r="L304" s="2">
        <v>0</v>
      </c>
      <c r="M304" s="2">
        <v>0</v>
      </c>
      <c r="N304" s="2">
        <v>100</v>
      </c>
      <c r="O304" s="2">
        <v>446523</v>
      </c>
      <c r="P304" s="1" t="s">
        <v>830</v>
      </c>
      <c r="Q304" s="1" t="s">
        <v>35</v>
      </c>
      <c r="R304" s="1" t="s">
        <v>153</v>
      </c>
      <c r="S304" s="1">
        <v>1</v>
      </c>
      <c r="T304" s="1">
        <v>0</v>
      </c>
      <c r="U304" s="1">
        <f t="shared" si="27"/>
        <v>1</v>
      </c>
      <c r="V304" s="1">
        <v>0</v>
      </c>
      <c r="W304" s="1">
        <f t="shared" si="26"/>
        <v>1</v>
      </c>
      <c r="X304" s="5">
        <f t="shared" si="25"/>
        <v>100</v>
      </c>
    </row>
    <row r="305" spans="1:24" ht="15" customHeight="1">
      <c r="A305" s="6">
        <v>46054</v>
      </c>
      <c r="B305" s="1" t="s">
        <v>18</v>
      </c>
      <c r="C305" s="1" t="s">
        <v>869</v>
      </c>
      <c r="D305" s="1" t="s">
        <v>892</v>
      </c>
      <c r="E305" s="1" t="s">
        <v>893</v>
      </c>
      <c r="F305" s="1" t="s">
        <v>891</v>
      </c>
      <c r="G305" s="1" t="s">
        <v>873</v>
      </c>
      <c r="H305" s="1" t="s">
        <v>24</v>
      </c>
      <c r="I305" s="2">
        <v>3</v>
      </c>
      <c r="J305" s="2">
        <v>275322</v>
      </c>
      <c r="K305" s="2">
        <v>1929</v>
      </c>
      <c r="L305" s="2">
        <v>0</v>
      </c>
      <c r="M305" s="2">
        <v>0</v>
      </c>
      <c r="N305" s="2">
        <v>280</v>
      </c>
      <c r="O305" s="2">
        <v>277531</v>
      </c>
      <c r="P305" s="1" t="s">
        <v>830</v>
      </c>
      <c r="Q305" s="1" t="s">
        <v>35</v>
      </c>
      <c r="R305" s="1" t="s">
        <v>153</v>
      </c>
      <c r="S305" s="1">
        <v>0</v>
      </c>
      <c r="T305" s="1">
        <v>1</v>
      </c>
      <c r="U305" s="1">
        <f t="shared" si="27"/>
        <v>1</v>
      </c>
      <c r="V305" s="1">
        <v>0</v>
      </c>
      <c r="W305" s="1">
        <f t="shared" si="26"/>
        <v>1</v>
      </c>
      <c r="X305" s="5">
        <f t="shared" si="25"/>
        <v>0</v>
      </c>
    </row>
    <row r="306" spans="1:24" ht="15" customHeight="1">
      <c r="A306" s="6">
        <v>46054</v>
      </c>
      <c r="B306" s="1" t="s">
        <v>18</v>
      </c>
      <c r="C306" s="1" t="s">
        <v>894</v>
      </c>
      <c r="D306" s="1" t="s">
        <v>895</v>
      </c>
      <c r="E306" s="1" t="s">
        <v>896</v>
      </c>
      <c r="F306" s="1" t="s">
        <v>897</v>
      </c>
      <c r="G306" s="1" t="s">
        <v>850</v>
      </c>
      <c r="H306" s="1" t="s">
        <v>24</v>
      </c>
      <c r="I306" s="2">
        <v>2</v>
      </c>
      <c r="J306" s="2">
        <v>10502</v>
      </c>
      <c r="K306" s="2">
        <v>4738</v>
      </c>
      <c r="L306" s="2">
        <v>0</v>
      </c>
      <c r="M306" s="2">
        <v>0</v>
      </c>
      <c r="N306" s="2">
        <v>404</v>
      </c>
      <c r="O306" s="2">
        <v>15644</v>
      </c>
      <c r="P306" s="1" t="s">
        <v>855</v>
      </c>
      <c r="Q306" s="1" t="s">
        <v>35</v>
      </c>
      <c r="R306" s="1" t="s">
        <v>836</v>
      </c>
      <c r="S306" s="1">
        <v>1</v>
      </c>
      <c r="T306" s="1">
        <v>0</v>
      </c>
      <c r="U306" s="1">
        <f t="shared" si="27"/>
        <v>1</v>
      </c>
      <c r="V306" s="1">
        <v>0</v>
      </c>
      <c r="W306" s="1">
        <f t="shared" si="26"/>
        <v>1</v>
      </c>
      <c r="X306" s="5">
        <f t="shared" si="25"/>
        <v>100</v>
      </c>
    </row>
    <row r="307" spans="1:24" ht="15" customHeight="1">
      <c r="A307" s="6">
        <v>46054</v>
      </c>
      <c r="B307" s="1" t="s">
        <v>18</v>
      </c>
      <c r="C307" s="1" t="s">
        <v>894</v>
      </c>
      <c r="D307" s="1" t="s">
        <v>898</v>
      </c>
      <c r="E307" s="1" t="s">
        <v>899</v>
      </c>
      <c r="F307" s="1" t="s">
        <v>900</v>
      </c>
      <c r="G307" s="1" t="s">
        <v>850</v>
      </c>
      <c r="H307" s="1" t="s">
        <v>24</v>
      </c>
      <c r="I307" s="2">
        <v>2</v>
      </c>
      <c r="J307" s="2">
        <v>99699</v>
      </c>
      <c r="K307" s="2">
        <v>7215</v>
      </c>
      <c r="L307" s="2">
        <v>0</v>
      </c>
      <c r="M307" s="2">
        <v>0</v>
      </c>
      <c r="N307" s="2">
        <v>676</v>
      </c>
      <c r="O307" s="2">
        <v>107590</v>
      </c>
      <c r="P307" s="1" t="s">
        <v>855</v>
      </c>
      <c r="Q307" s="1" t="s">
        <v>35</v>
      </c>
      <c r="R307" s="1" t="s">
        <v>153</v>
      </c>
      <c r="S307" s="1">
        <v>1</v>
      </c>
      <c r="T307" s="1">
        <v>0</v>
      </c>
      <c r="U307" s="1">
        <f t="shared" si="27"/>
        <v>1</v>
      </c>
      <c r="V307" s="1">
        <v>0</v>
      </c>
      <c r="W307" s="1">
        <f t="shared" si="26"/>
        <v>1</v>
      </c>
      <c r="X307" s="5">
        <f t="shared" si="25"/>
        <v>100</v>
      </c>
    </row>
    <row r="308" spans="1:24" ht="15" customHeight="1">
      <c r="A308" s="6">
        <v>46054</v>
      </c>
      <c r="B308" s="1" t="s">
        <v>18</v>
      </c>
      <c r="C308" s="1" t="s">
        <v>901</v>
      </c>
      <c r="D308" s="1" t="s">
        <v>902</v>
      </c>
      <c r="E308" s="1" t="s">
        <v>903</v>
      </c>
      <c r="F308" s="1" t="s">
        <v>904</v>
      </c>
      <c r="G308" s="1"/>
      <c r="H308" s="1" t="s">
        <v>24</v>
      </c>
      <c r="I308" s="2">
        <v>1.34</v>
      </c>
      <c r="J308" s="2">
        <v>-375</v>
      </c>
      <c r="K308" s="2">
        <v>0</v>
      </c>
      <c r="L308" s="2">
        <v>0</v>
      </c>
      <c r="M308" s="2">
        <v>0</v>
      </c>
      <c r="N308" s="2">
        <v>0</v>
      </c>
      <c r="O308" s="2">
        <v>-375</v>
      </c>
      <c r="P308" s="1" t="s">
        <v>905</v>
      </c>
      <c r="Q308" s="1" t="s">
        <v>26</v>
      </c>
      <c r="R308" s="1" t="s">
        <v>906</v>
      </c>
      <c r="S308" s="1">
        <v>0</v>
      </c>
      <c r="T308" s="1">
        <v>0</v>
      </c>
      <c r="U308" s="1">
        <f t="shared" si="27"/>
        <v>0</v>
      </c>
      <c r="V308" s="1">
        <v>1</v>
      </c>
      <c r="W308" s="1">
        <f t="shared" si="26"/>
        <v>1</v>
      </c>
      <c r="X308" s="5" t="e">
        <f t="shared" si="25"/>
        <v>#DIV/0!</v>
      </c>
    </row>
    <row r="309" spans="1:24">
      <c r="A309" s="6">
        <v>46054</v>
      </c>
      <c r="B309" s="1" t="s">
        <v>49</v>
      </c>
      <c r="C309" s="1" t="s">
        <v>901</v>
      </c>
      <c r="D309" s="1" t="s">
        <v>907</v>
      </c>
      <c r="E309" s="1" t="s">
        <v>908</v>
      </c>
      <c r="F309" s="1" t="s">
        <v>909</v>
      </c>
      <c r="G309" s="1"/>
      <c r="H309" s="1" t="s">
        <v>54</v>
      </c>
      <c r="I309" s="2">
        <v>4</v>
      </c>
      <c r="J309" s="2">
        <v>11584409</v>
      </c>
      <c r="K309" s="2">
        <v>254343</v>
      </c>
      <c r="L309" s="2">
        <v>0</v>
      </c>
      <c r="M309" s="2">
        <v>0</v>
      </c>
      <c r="N309" s="2">
        <v>34219</v>
      </c>
      <c r="O309" s="2">
        <v>11872971</v>
      </c>
      <c r="P309" s="1" t="s">
        <v>905</v>
      </c>
      <c r="Q309" s="1" t="s">
        <v>35</v>
      </c>
      <c r="R309" s="1" t="s">
        <v>66</v>
      </c>
      <c r="S309" s="1">
        <v>0</v>
      </c>
      <c r="T309" s="1">
        <v>1</v>
      </c>
      <c r="U309" s="1">
        <f t="shared" si="27"/>
        <v>1</v>
      </c>
      <c r="V309" s="1">
        <v>0</v>
      </c>
      <c r="W309" s="1">
        <f t="shared" si="26"/>
        <v>1</v>
      </c>
      <c r="X309" s="5">
        <f t="shared" si="25"/>
        <v>0</v>
      </c>
    </row>
    <row r="310" spans="1:24">
      <c r="A310" s="6">
        <v>46054</v>
      </c>
      <c r="B310" s="1" t="s">
        <v>49</v>
      </c>
      <c r="C310" s="1" t="s">
        <v>901</v>
      </c>
      <c r="D310" s="1" t="s">
        <v>910</v>
      </c>
      <c r="E310" s="1" t="s">
        <v>169</v>
      </c>
      <c r="F310" s="1" t="s">
        <v>911</v>
      </c>
      <c r="G310" s="1"/>
      <c r="H310" s="1" t="s">
        <v>54</v>
      </c>
      <c r="I310" s="2">
        <v>3</v>
      </c>
      <c r="J310" s="2">
        <v>10550150</v>
      </c>
      <c r="K310" s="2">
        <v>272667</v>
      </c>
      <c r="L310" s="2">
        <v>0</v>
      </c>
      <c r="M310" s="2">
        <v>0</v>
      </c>
      <c r="N310" s="2">
        <v>36901</v>
      </c>
      <c r="O310" s="2">
        <v>10859718</v>
      </c>
      <c r="P310" s="1" t="s">
        <v>905</v>
      </c>
      <c r="Q310" s="1" t="s">
        <v>35</v>
      </c>
      <c r="R310" s="1" t="s">
        <v>66</v>
      </c>
      <c r="S310" s="1">
        <v>0</v>
      </c>
      <c r="T310" s="1">
        <v>1</v>
      </c>
      <c r="U310" s="1">
        <f t="shared" si="27"/>
        <v>1</v>
      </c>
      <c r="V310" s="1">
        <v>0</v>
      </c>
      <c r="W310" s="1">
        <f t="shared" si="26"/>
        <v>1</v>
      </c>
      <c r="X310" s="5">
        <f t="shared" si="25"/>
        <v>0</v>
      </c>
    </row>
    <row r="311" spans="1:24" ht="15" customHeight="1">
      <c r="A311" s="6">
        <v>46054</v>
      </c>
      <c r="B311" s="1" t="s">
        <v>49</v>
      </c>
      <c r="C311" s="1" t="s">
        <v>901</v>
      </c>
      <c r="D311" s="1" t="s">
        <v>912</v>
      </c>
      <c r="E311" s="1" t="s">
        <v>913</v>
      </c>
      <c r="F311" s="1" t="s">
        <v>904</v>
      </c>
      <c r="G311" s="1"/>
      <c r="H311" s="1" t="s">
        <v>54</v>
      </c>
      <c r="I311" s="2">
        <v>2.16</v>
      </c>
      <c r="J311" s="2">
        <v>11071721</v>
      </c>
      <c r="K311" s="2">
        <v>277678</v>
      </c>
      <c r="L311" s="2">
        <v>0</v>
      </c>
      <c r="M311" s="2">
        <v>0</v>
      </c>
      <c r="N311" s="2">
        <v>36658</v>
      </c>
      <c r="O311" s="2">
        <v>11386057</v>
      </c>
      <c r="P311" s="1" t="s">
        <v>905</v>
      </c>
      <c r="Q311" s="1" t="s">
        <v>35</v>
      </c>
      <c r="R311" s="1" t="s">
        <v>66</v>
      </c>
      <c r="S311" s="1">
        <v>1</v>
      </c>
      <c r="T311" s="1">
        <v>0</v>
      </c>
      <c r="U311" s="1">
        <f t="shared" si="27"/>
        <v>1</v>
      </c>
      <c r="V311" s="1">
        <v>0</v>
      </c>
      <c r="W311" s="1">
        <f t="shared" si="26"/>
        <v>1</v>
      </c>
      <c r="X311" s="5">
        <f t="shared" si="25"/>
        <v>100</v>
      </c>
    </row>
    <row r="312" spans="1:24">
      <c r="A312" s="6">
        <v>46054</v>
      </c>
      <c r="B312" s="1" t="s">
        <v>49</v>
      </c>
      <c r="C312" s="1" t="s">
        <v>901</v>
      </c>
      <c r="D312" s="1" t="s">
        <v>914</v>
      </c>
      <c r="E312" s="1" t="s">
        <v>915</v>
      </c>
      <c r="F312" s="1" t="s">
        <v>916</v>
      </c>
      <c r="G312" s="1"/>
      <c r="H312" s="1" t="s">
        <v>54</v>
      </c>
      <c r="I312" s="2">
        <v>2.16</v>
      </c>
      <c r="J312" s="2">
        <v>11737434</v>
      </c>
      <c r="K312" s="2">
        <v>255192</v>
      </c>
      <c r="L312" s="2">
        <v>0</v>
      </c>
      <c r="M312" s="2">
        <v>0</v>
      </c>
      <c r="N312" s="2">
        <v>30023</v>
      </c>
      <c r="O312" s="2">
        <v>12022649</v>
      </c>
      <c r="P312" s="1" t="s">
        <v>905</v>
      </c>
      <c r="Q312" s="1" t="s">
        <v>35</v>
      </c>
      <c r="R312" s="1" t="s">
        <v>55</v>
      </c>
      <c r="S312" s="1">
        <v>0</v>
      </c>
      <c r="T312" s="1">
        <v>1</v>
      </c>
      <c r="U312" s="1">
        <f t="shared" si="27"/>
        <v>1</v>
      </c>
      <c r="V312" s="1">
        <v>0</v>
      </c>
      <c r="W312" s="1">
        <f t="shared" si="26"/>
        <v>1</v>
      </c>
      <c r="X312" s="5">
        <f t="shared" si="25"/>
        <v>0</v>
      </c>
    </row>
    <row r="313" spans="1:24">
      <c r="A313" s="6">
        <v>46054</v>
      </c>
      <c r="B313" s="1" t="s">
        <v>49</v>
      </c>
      <c r="C313" s="1" t="s">
        <v>901</v>
      </c>
      <c r="D313" s="1" t="s">
        <v>917</v>
      </c>
      <c r="E313" s="1" t="s">
        <v>169</v>
      </c>
      <c r="F313" s="1" t="s">
        <v>918</v>
      </c>
      <c r="G313" s="1"/>
      <c r="H313" s="1" t="s">
        <v>54</v>
      </c>
      <c r="I313" s="2">
        <v>2</v>
      </c>
      <c r="J313" s="2">
        <v>11322532</v>
      </c>
      <c r="K313" s="2">
        <v>272640</v>
      </c>
      <c r="L313" s="2">
        <v>0</v>
      </c>
      <c r="M313" s="2">
        <v>0</v>
      </c>
      <c r="N313" s="2">
        <v>36132</v>
      </c>
      <c r="O313" s="2">
        <v>11631304</v>
      </c>
      <c r="P313" s="1" t="s">
        <v>905</v>
      </c>
      <c r="Q313" s="1" t="s">
        <v>35</v>
      </c>
      <c r="R313" s="1" t="s">
        <v>66</v>
      </c>
      <c r="S313" s="1">
        <v>0</v>
      </c>
      <c r="T313" s="1">
        <v>1</v>
      </c>
      <c r="U313" s="1">
        <f t="shared" si="27"/>
        <v>1</v>
      </c>
      <c r="V313" s="1">
        <v>0</v>
      </c>
      <c r="W313" s="1">
        <f t="shared" si="26"/>
        <v>1</v>
      </c>
      <c r="X313" s="5">
        <f t="shared" si="25"/>
        <v>0</v>
      </c>
    </row>
    <row r="314" spans="1:24" ht="15" customHeight="1">
      <c r="A314" s="6">
        <v>46054</v>
      </c>
      <c r="B314" s="1" t="s">
        <v>49</v>
      </c>
      <c r="C314" s="1" t="s">
        <v>901</v>
      </c>
      <c r="D314" s="1" t="s">
        <v>919</v>
      </c>
      <c r="E314" s="1" t="s">
        <v>169</v>
      </c>
      <c r="F314" s="1" t="s">
        <v>918</v>
      </c>
      <c r="G314" s="1"/>
      <c r="H314" s="1" t="s">
        <v>54</v>
      </c>
      <c r="I314" s="2">
        <v>1</v>
      </c>
      <c r="J314" s="2">
        <v>11011025</v>
      </c>
      <c r="K314" s="2">
        <v>277637</v>
      </c>
      <c r="L314" s="2">
        <v>0</v>
      </c>
      <c r="M314" s="2">
        <v>0</v>
      </c>
      <c r="N314" s="2">
        <v>36309</v>
      </c>
      <c r="O314" s="2">
        <v>11324971</v>
      </c>
      <c r="P314" s="1" t="s">
        <v>905</v>
      </c>
      <c r="Q314" s="1" t="s">
        <v>35</v>
      </c>
      <c r="R314" s="1" t="s">
        <v>66</v>
      </c>
      <c r="S314" s="1">
        <v>0</v>
      </c>
      <c r="T314" s="1">
        <v>1</v>
      </c>
      <c r="U314" s="1">
        <f t="shared" si="27"/>
        <v>1</v>
      </c>
      <c r="V314" s="1">
        <v>0</v>
      </c>
      <c r="W314" s="1">
        <f t="shared" si="26"/>
        <v>1</v>
      </c>
      <c r="X314" s="5">
        <f t="shared" si="25"/>
        <v>0</v>
      </c>
    </row>
    <row r="315" spans="1:24" ht="15" customHeight="1">
      <c r="A315" s="6">
        <v>46054</v>
      </c>
      <c r="B315" s="1" t="s">
        <v>18</v>
      </c>
      <c r="C315" s="1" t="s">
        <v>920</v>
      </c>
      <c r="D315" s="1" t="s">
        <v>921</v>
      </c>
      <c r="E315" s="1" t="s">
        <v>169</v>
      </c>
      <c r="F315" s="1" t="s">
        <v>922</v>
      </c>
      <c r="G315" s="1"/>
      <c r="H315" s="1" t="s">
        <v>24</v>
      </c>
      <c r="I315" s="2">
        <v>2.75</v>
      </c>
      <c r="J315" s="2">
        <v>-63</v>
      </c>
      <c r="K315" s="2">
        <v>0</v>
      </c>
      <c r="L315" s="2">
        <v>0</v>
      </c>
      <c r="M315" s="2">
        <v>0</v>
      </c>
      <c r="N315" s="2">
        <v>0</v>
      </c>
      <c r="O315" s="2">
        <v>-63</v>
      </c>
      <c r="P315" s="1" t="s">
        <v>905</v>
      </c>
      <c r="Q315" s="1" t="s">
        <v>26</v>
      </c>
      <c r="R315" s="1" t="s">
        <v>66</v>
      </c>
      <c r="S315" s="1">
        <v>0</v>
      </c>
      <c r="T315" s="1">
        <v>0</v>
      </c>
      <c r="U315" s="1">
        <f t="shared" si="27"/>
        <v>0</v>
      </c>
      <c r="V315" s="1">
        <v>1</v>
      </c>
      <c r="W315" s="1">
        <f t="shared" si="26"/>
        <v>1</v>
      </c>
      <c r="X315" s="5" t="e">
        <f t="shared" si="25"/>
        <v>#DIV/0!</v>
      </c>
    </row>
    <row r="316" spans="1:24" ht="15" customHeight="1">
      <c r="A316" s="6">
        <v>46054</v>
      </c>
      <c r="B316" s="1" t="s">
        <v>18</v>
      </c>
      <c r="C316" s="1" t="s">
        <v>920</v>
      </c>
      <c r="D316" s="1" t="s">
        <v>923</v>
      </c>
      <c r="E316" s="1" t="s">
        <v>924</v>
      </c>
      <c r="F316" s="1" t="s">
        <v>925</v>
      </c>
      <c r="G316" s="1"/>
      <c r="H316" s="1" t="s">
        <v>24</v>
      </c>
      <c r="I316" s="2">
        <v>2.44</v>
      </c>
      <c r="J316" s="2">
        <v>108278</v>
      </c>
      <c r="K316" s="2">
        <v>10689</v>
      </c>
      <c r="L316" s="2">
        <v>0</v>
      </c>
      <c r="M316" s="2">
        <v>0</v>
      </c>
      <c r="N316" s="2">
        <v>560</v>
      </c>
      <c r="O316" s="2">
        <v>119527</v>
      </c>
      <c r="P316" s="1" t="s">
        <v>905</v>
      </c>
      <c r="Q316" s="1" t="s">
        <v>35</v>
      </c>
      <c r="R316" s="1" t="s">
        <v>44</v>
      </c>
      <c r="S316" s="1">
        <v>0</v>
      </c>
      <c r="T316" s="1">
        <v>1</v>
      </c>
      <c r="U316" s="1">
        <f t="shared" si="27"/>
        <v>1</v>
      </c>
      <c r="V316" s="1">
        <v>0</v>
      </c>
      <c r="W316" s="1">
        <f t="shared" si="26"/>
        <v>1</v>
      </c>
      <c r="X316" s="5">
        <f t="shared" si="25"/>
        <v>0</v>
      </c>
    </row>
    <row r="317" spans="1:24" ht="15" customHeight="1">
      <c r="A317" s="6">
        <v>46054</v>
      </c>
      <c r="B317" s="1" t="s">
        <v>18</v>
      </c>
      <c r="C317" s="1" t="s">
        <v>920</v>
      </c>
      <c r="D317" s="1" t="s">
        <v>926</v>
      </c>
      <c r="E317" s="1" t="s">
        <v>169</v>
      </c>
      <c r="F317" s="1" t="s">
        <v>927</v>
      </c>
      <c r="G317" s="1"/>
      <c r="H317" s="1" t="s">
        <v>24</v>
      </c>
      <c r="I317" s="2">
        <v>2.58</v>
      </c>
      <c r="J317" s="2">
        <v>659826</v>
      </c>
      <c r="K317" s="2">
        <v>1180</v>
      </c>
      <c r="L317" s="2">
        <v>0</v>
      </c>
      <c r="M317" s="2">
        <v>0</v>
      </c>
      <c r="N317" s="2">
        <v>100</v>
      </c>
      <c r="O317" s="2">
        <v>661106</v>
      </c>
      <c r="P317" s="1" t="s">
        <v>905</v>
      </c>
      <c r="Q317" s="1" t="s">
        <v>35</v>
      </c>
      <c r="R317" s="1" t="s">
        <v>66</v>
      </c>
      <c r="S317" s="1">
        <v>0</v>
      </c>
      <c r="T317" s="1">
        <v>1</v>
      </c>
      <c r="U317" s="1">
        <f t="shared" si="27"/>
        <v>1</v>
      </c>
      <c r="V317" s="1">
        <v>0</v>
      </c>
      <c r="W317" s="1">
        <f t="shared" si="26"/>
        <v>1</v>
      </c>
      <c r="X317" s="5">
        <f t="shared" si="25"/>
        <v>0</v>
      </c>
    </row>
    <row r="318" spans="1:24">
      <c r="A318" s="6">
        <v>46054</v>
      </c>
      <c r="B318" s="1" t="s">
        <v>18</v>
      </c>
      <c r="C318" s="1" t="s">
        <v>920</v>
      </c>
      <c r="D318" s="1" t="s">
        <v>928</v>
      </c>
      <c r="E318" s="1" t="s">
        <v>169</v>
      </c>
      <c r="F318" s="1" t="s">
        <v>929</v>
      </c>
      <c r="G318" s="1"/>
      <c r="H318" s="1" t="s">
        <v>24</v>
      </c>
      <c r="I318" s="2">
        <v>1</v>
      </c>
      <c r="J318" s="2">
        <v>695679</v>
      </c>
      <c r="K318" s="2">
        <v>1180</v>
      </c>
      <c r="L318" s="2">
        <v>0</v>
      </c>
      <c r="M318" s="2">
        <v>0</v>
      </c>
      <c r="N318" s="2">
        <v>100</v>
      </c>
      <c r="O318" s="2">
        <v>696959</v>
      </c>
      <c r="P318" s="1" t="s">
        <v>905</v>
      </c>
      <c r="Q318" s="1" t="s">
        <v>35</v>
      </c>
      <c r="R318" s="1" t="s">
        <v>66</v>
      </c>
      <c r="S318" s="1">
        <v>0</v>
      </c>
      <c r="T318" s="1">
        <v>1</v>
      </c>
      <c r="U318" s="1">
        <f t="shared" si="27"/>
        <v>1</v>
      </c>
      <c r="V318" s="1">
        <v>0</v>
      </c>
      <c r="W318" s="1">
        <f t="shared" si="26"/>
        <v>1</v>
      </c>
      <c r="X318" s="5">
        <f t="shared" si="25"/>
        <v>0</v>
      </c>
    </row>
    <row r="319" spans="1:24">
      <c r="A319" s="6">
        <v>46054</v>
      </c>
      <c r="B319" s="1" t="s">
        <v>18</v>
      </c>
      <c r="C319" s="1" t="s">
        <v>930</v>
      </c>
      <c r="D319" s="1" t="s">
        <v>931</v>
      </c>
      <c r="E319" s="1" t="s">
        <v>932</v>
      </c>
      <c r="F319" s="1" t="s">
        <v>904</v>
      </c>
      <c r="G319" s="1"/>
      <c r="H319" s="1" t="s">
        <v>24</v>
      </c>
      <c r="I319" s="2">
        <v>2</v>
      </c>
      <c r="J319" s="2">
        <v>51764</v>
      </c>
      <c r="K319" s="2">
        <v>1180</v>
      </c>
      <c r="L319" s="2">
        <v>0</v>
      </c>
      <c r="M319" s="2">
        <v>0</v>
      </c>
      <c r="N319" s="2">
        <v>100</v>
      </c>
      <c r="O319" s="2">
        <v>53044</v>
      </c>
      <c r="P319" s="1" t="s">
        <v>905</v>
      </c>
      <c r="Q319" s="1" t="s">
        <v>35</v>
      </c>
      <c r="R319" s="1" t="s">
        <v>746</v>
      </c>
      <c r="S319" s="1">
        <v>0</v>
      </c>
      <c r="T319" s="1">
        <v>1</v>
      </c>
      <c r="U319" s="1">
        <f t="shared" si="27"/>
        <v>1</v>
      </c>
      <c r="V319" s="1">
        <v>0</v>
      </c>
      <c r="W319" s="1">
        <f t="shared" si="26"/>
        <v>1</v>
      </c>
      <c r="X319" s="5">
        <f t="shared" si="25"/>
        <v>0</v>
      </c>
    </row>
    <row r="320" spans="1:24" ht="15" customHeight="1">
      <c r="A320" s="6">
        <v>46054</v>
      </c>
      <c r="B320" s="1" t="s">
        <v>18</v>
      </c>
      <c r="C320" s="1" t="s">
        <v>930</v>
      </c>
      <c r="D320" s="1" t="s">
        <v>108</v>
      </c>
      <c r="E320" s="1" t="s">
        <v>933</v>
      </c>
      <c r="F320" s="1" t="s">
        <v>904</v>
      </c>
      <c r="G320" s="1"/>
      <c r="H320" s="1" t="s">
        <v>24</v>
      </c>
      <c r="I320" s="2">
        <v>3.16</v>
      </c>
      <c r="J320" s="2">
        <v>1021170</v>
      </c>
      <c r="K320" s="2">
        <v>1180</v>
      </c>
      <c r="L320" s="2">
        <v>0</v>
      </c>
      <c r="M320" s="2">
        <v>0</v>
      </c>
      <c r="N320" s="2">
        <v>100</v>
      </c>
      <c r="O320" s="2">
        <v>1022450</v>
      </c>
      <c r="P320" s="1" t="s">
        <v>905</v>
      </c>
      <c r="Q320" s="1" t="s">
        <v>35</v>
      </c>
      <c r="R320" s="1" t="s">
        <v>753</v>
      </c>
      <c r="S320" s="1">
        <v>0</v>
      </c>
      <c r="T320" s="1">
        <v>1</v>
      </c>
      <c r="U320" s="1">
        <f t="shared" si="27"/>
        <v>1</v>
      </c>
      <c r="V320" s="1">
        <v>0</v>
      </c>
      <c r="W320" s="1">
        <f t="shared" si="26"/>
        <v>1</v>
      </c>
      <c r="X320" s="5">
        <f t="shared" si="25"/>
        <v>0</v>
      </c>
    </row>
    <row r="321" spans="1:24" ht="15" customHeight="1">
      <c r="A321" s="6">
        <v>46054</v>
      </c>
      <c r="B321" s="1" t="s">
        <v>18</v>
      </c>
      <c r="C321" s="1" t="s">
        <v>930</v>
      </c>
      <c r="D321" s="1" t="s">
        <v>934</v>
      </c>
      <c r="E321" s="1" t="s">
        <v>935</v>
      </c>
      <c r="F321" s="1" t="s">
        <v>936</v>
      </c>
      <c r="G321" s="1" t="s">
        <v>937</v>
      </c>
      <c r="H321" s="1" t="s">
        <v>128</v>
      </c>
      <c r="I321" s="2">
        <v>2</v>
      </c>
      <c r="J321" s="2">
        <v>1036839</v>
      </c>
      <c r="K321" s="2">
        <v>0</v>
      </c>
      <c r="L321" s="2">
        <v>0</v>
      </c>
      <c r="M321" s="2">
        <v>0</v>
      </c>
      <c r="N321" s="2">
        <v>0</v>
      </c>
      <c r="O321" s="2">
        <v>1036839</v>
      </c>
      <c r="P321" s="1" t="s">
        <v>938</v>
      </c>
      <c r="Q321" s="1" t="s">
        <v>26</v>
      </c>
      <c r="R321" s="1" t="s">
        <v>27</v>
      </c>
      <c r="S321" s="1">
        <v>0</v>
      </c>
      <c r="T321" s="1">
        <v>0</v>
      </c>
      <c r="U321" s="1">
        <f t="shared" si="27"/>
        <v>0</v>
      </c>
      <c r="V321" s="1">
        <v>1</v>
      </c>
      <c r="W321" s="1">
        <f t="shared" si="26"/>
        <v>1</v>
      </c>
      <c r="X321" s="5" t="e">
        <f t="shared" ref="X321:X384" si="28">100/U321*S321</f>
        <v>#DIV/0!</v>
      </c>
    </row>
    <row r="322" spans="1:24" ht="15" customHeight="1">
      <c r="A322" s="6">
        <v>46054</v>
      </c>
      <c r="B322" s="1" t="s">
        <v>18</v>
      </c>
      <c r="C322" s="1" t="s">
        <v>930</v>
      </c>
      <c r="D322" s="1" t="s">
        <v>939</v>
      </c>
      <c r="E322" s="1" t="s">
        <v>940</v>
      </c>
      <c r="F322" s="1" t="s">
        <v>941</v>
      </c>
      <c r="G322" s="1" t="s">
        <v>936</v>
      </c>
      <c r="H322" s="1" t="s">
        <v>24</v>
      </c>
      <c r="I322" s="2">
        <v>2</v>
      </c>
      <c r="J322" s="2">
        <v>2752747</v>
      </c>
      <c r="K322" s="2">
        <v>7192</v>
      </c>
      <c r="L322" s="2">
        <v>0</v>
      </c>
      <c r="M322" s="2">
        <v>0</v>
      </c>
      <c r="N322" s="2">
        <v>598</v>
      </c>
      <c r="O322" s="2">
        <v>2760537</v>
      </c>
      <c r="P322" s="1" t="s">
        <v>938</v>
      </c>
      <c r="Q322" s="1" t="s">
        <v>35</v>
      </c>
      <c r="R322" s="1" t="s">
        <v>27</v>
      </c>
      <c r="S322" s="1">
        <v>0</v>
      </c>
      <c r="T322" s="1">
        <v>1</v>
      </c>
      <c r="U322" s="1">
        <f t="shared" ref="U322" si="29">T322+S322</f>
        <v>1</v>
      </c>
      <c r="V322" s="1">
        <v>0</v>
      </c>
      <c r="W322" s="1">
        <f t="shared" ref="W322:W385" si="30">V322+U322</f>
        <v>1</v>
      </c>
      <c r="X322" s="5">
        <f t="shared" si="28"/>
        <v>0</v>
      </c>
    </row>
    <row r="323" spans="1:24" ht="15" customHeight="1">
      <c r="A323" s="6">
        <v>46054</v>
      </c>
      <c r="B323" s="1" t="s">
        <v>18</v>
      </c>
      <c r="C323" s="1" t="s">
        <v>930</v>
      </c>
      <c r="D323" s="1" t="s">
        <v>942</v>
      </c>
      <c r="E323" s="1" t="s">
        <v>924</v>
      </c>
      <c r="F323" s="1" t="s">
        <v>943</v>
      </c>
      <c r="G323" s="1" t="s">
        <v>944</v>
      </c>
      <c r="H323" s="1" t="s">
        <v>24</v>
      </c>
      <c r="I323" s="2">
        <v>1.75</v>
      </c>
      <c r="J323" s="2">
        <v>2076295</v>
      </c>
      <c r="K323" s="2">
        <v>7083</v>
      </c>
      <c r="L323" s="2">
        <v>0</v>
      </c>
      <c r="M323" s="2">
        <v>0</v>
      </c>
      <c r="N323" s="2">
        <v>598</v>
      </c>
      <c r="O323" s="2">
        <v>2083976</v>
      </c>
      <c r="P323" s="1" t="s">
        <v>938</v>
      </c>
      <c r="Q323" s="1" t="s">
        <v>35</v>
      </c>
      <c r="R323" s="1" t="s">
        <v>153</v>
      </c>
      <c r="S323" s="1">
        <v>0</v>
      </c>
      <c r="T323" s="1">
        <v>1</v>
      </c>
      <c r="U323" s="1">
        <f t="shared" ref="U323:U385" si="31">T323+S323</f>
        <v>1</v>
      </c>
      <c r="V323" s="1">
        <v>0</v>
      </c>
      <c r="W323" s="1">
        <f t="shared" si="30"/>
        <v>1</v>
      </c>
      <c r="X323" s="5">
        <f t="shared" si="28"/>
        <v>0</v>
      </c>
    </row>
    <row r="324" spans="1:24" ht="15" customHeight="1">
      <c r="A324" s="6">
        <v>46054</v>
      </c>
      <c r="B324" s="1" t="s">
        <v>18</v>
      </c>
      <c r="C324" s="1" t="s">
        <v>930</v>
      </c>
      <c r="D324" s="1" t="s">
        <v>945</v>
      </c>
      <c r="E324" s="1" t="s">
        <v>946</v>
      </c>
      <c r="F324" s="1" t="s">
        <v>947</v>
      </c>
      <c r="G324" s="1" t="s">
        <v>944</v>
      </c>
      <c r="H324" s="1" t="s">
        <v>24</v>
      </c>
      <c r="I324" s="2">
        <v>2.75</v>
      </c>
      <c r="J324" s="2">
        <v>171110</v>
      </c>
      <c r="K324" s="2">
        <v>7083</v>
      </c>
      <c r="L324" s="2">
        <v>0</v>
      </c>
      <c r="M324" s="2">
        <v>0</v>
      </c>
      <c r="N324" s="2">
        <v>598</v>
      </c>
      <c r="O324" s="2">
        <v>178791</v>
      </c>
      <c r="P324" s="1" t="s">
        <v>938</v>
      </c>
      <c r="Q324" s="1" t="s">
        <v>35</v>
      </c>
      <c r="R324" s="1" t="s">
        <v>821</v>
      </c>
      <c r="S324" s="1">
        <v>0</v>
      </c>
      <c r="T324" s="1">
        <v>1</v>
      </c>
      <c r="U324" s="1">
        <f t="shared" si="31"/>
        <v>1</v>
      </c>
      <c r="V324" s="1">
        <v>0</v>
      </c>
      <c r="W324" s="1">
        <f t="shared" si="30"/>
        <v>1</v>
      </c>
      <c r="X324" s="5">
        <f t="shared" si="28"/>
        <v>0</v>
      </c>
    </row>
    <row r="325" spans="1:24" ht="15" customHeight="1">
      <c r="A325" s="6">
        <v>46054</v>
      </c>
      <c r="B325" s="1" t="s">
        <v>18</v>
      </c>
      <c r="C325" s="1" t="s">
        <v>930</v>
      </c>
      <c r="D325" s="1" t="s">
        <v>948</v>
      </c>
      <c r="E325" s="1" t="s">
        <v>949</v>
      </c>
      <c r="F325" s="1" t="s">
        <v>169</v>
      </c>
      <c r="G325" s="1" t="s">
        <v>950</v>
      </c>
      <c r="H325" s="1" t="s">
        <v>24</v>
      </c>
      <c r="I325" s="2">
        <v>2.75</v>
      </c>
      <c r="J325" s="2">
        <v>2392852</v>
      </c>
      <c r="K325" s="2">
        <v>7083</v>
      </c>
      <c r="L325" s="2">
        <v>0</v>
      </c>
      <c r="M325" s="2">
        <v>0</v>
      </c>
      <c r="N325" s="2">
        <v>598</v>
      </c>
      <c r="O325" s="2">
        <v>2400533</v>
      </c>
      <c r="P325" s="1" t="s">
        <v>938</v>
      </c>
      <c r="Q325" s="1" t="s">
        <v>35</v>
      </c>
      <c r="R325" s="1" t="s">
        <v>153</v>
      </c>
      <c r="S325" s="1">
        <v>0</v>
      </c>
      <c r="T325" s="1">
        <v>1</v>
      </c>
      <c r="U325" s="1">
        <f t="shared" si="31"/>
        <v>1</v>
      </c>
      <c r="V325" s="1">
        <v>0</v>
      </c>
      <c r="W325" s="1">
        <f t="shared" si="30"/>
        <v>1</v>
      </c>
      <c r="X325" s="5">
        <f t="shared" si="28"/>
        <v>0</v>
      </c>
    </row>
    <row r="326" spans="1:24" ht="15" customHeight="1">
      <c r="A326" s="6">
        <v>46054</v>
      </c>
      <c r="B326" s="1" t="s">
        <v>18</v>
      </c>
      <c r="C326" s="1" t="s">
        <v>951</v>
      </c>
      <c r="D326" s="1" t="s">
        <v>952</v>
      </c>
      <c r="E326" s="1" t="s">
        <v>600</v>
      </c>
      <c r="F326" s="1" t="s">
        <v>953</v>
      </c>
      <c r="G326" s="1" t="s">
        <v>954</v>
      </c>
      <c r="H326" s="1" t="s">
        <v>24</v>
      </c>
      <c r="I326" s="2">
        <v>2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1" t="s">
        <v>694</v>
      </c>
      <c r="Q326" s="1" t="s">
        <v>26</v>
      </c>
      <c r="R326" s="1" t="s">
        <v>153</v>
      </c>
      <c r="S326" s="1">
        <v>0</v>
      </c>
      <c r="T326" s="1">
        <v>0</v>
      </c>
      <c r="U326" s="1">
        <f t="shared" si="31"/>
        <v>0</v>
      </c>
      <c r="V326" s="1">
        <v>1</v>
      </c>
      <c r="W326" s="1">
        <f t="shared" si="30"/>
        <v>1</v>
      </c>
      <c r="X326" s="5" t="e">
        <f t="shared" si="28"/>
        <v>#DIV/0!</v>
      </c>
    </row>
    <row r="327" spans="1:24" ht="15" customHeight="1">
      <c r="A327" s="6">
        <v>46054</v>
      </c>
      <c r="B327" s="1" t="s">
        <v>49</v>
      </c>
      <c r="C327" s="1" t="s">
        <v>951</v>
      </c>
      <c r="D327" s="1" t="s">
        <v>955</v>
      </c>
      <c r="E327" s="1" t="s">
        <v>956</v>
      </c>
      <c r="F327" s="1" t="s">
        <v>169</v>
      </c>
      <c r="G327" s="1" t="s">
        <v>957</v>
      </c>
      <c r="H327" s="1" t="s">
        <v>54</v>
      </c>
      <c r="I327" s="2">
        <v>28</v>
      </c>
      <c r="J327" s="2">
        <v>4032744</v>
      </c>
      <c r="K327" s="2">
        <v>520732</v>
      </c>
      <c r="L327" s="2">
        <v>0</v>
      </c>
      <c r="M327" s="2">
        <v>0</v>
      </c>
      <c r="N327" s="2">
        <v>65714</v>
      </c>
      <c r="O327" s="2">
        <v>4619190</v>
      </c>
      <c r="P327" s="1" t="s">
        <v>694</v>
      </c>
      <c r="Q327" s="1" t="s">
        <v>35</v>
      </c>
      <c r="R327" s="1" t="s">
        <v>66</v>
      </c>
      <c r="S327" s="1">
        <v>0</v>
      </c>
      <c r="T327" s="1">
        <v>1</v>
      </c>
      <c r="U327" s="1">
        <f t="shared" si="31"/>
        <v>1</v>
      </c>
      <c r="V327" s="1">
        <v>0</v>
      </c>
      <c r="W327" s="1">
        <f t="shared" si="30"/>
        <v>1</v>
      </c>
      <c r="X327" s="5">
        <f t="shared" si="28"/>
        <v>0</v>
      </c>
    </row>
    <row r="328" spans="1:24" ht="15" customHeight="1">
      <c r="A328" s="6">
        <v>46054</v>
      </c>
      <c r="B328" s="1" t="s">
        <v>49</v>
      </c>
      <c r="C328" s="1" t="s">
        <v>951</v>
      </c>
      <c r="D328" s="1" t="s">
        <v>958</v>
      </c>
      <c r="E328" s="1" t="s">
        <v>959</v>
      </c>
      <c r="F328" s="1" t="s">
        <v>960</v>
      </c>
      <c r="G328" s="1" t="s">
        <v>961</v>
      </c>
      <c r="H328" s="1" t="s">
        <v>24</v>
      </c>
      <c r="I328" s="2">
        <v>30</v>
      </c>
      <c r="J328" s="2">
        <v>4482011</v>
      </c>
      <c r="K328" s="2">
        <v>62174</v>
      </c>
      <c r="L328" s="2">
        <v>0</v>
      </c>
      <c r="M328" s="2">
        <v>0</v>
      </c>
      <c r="N328" s="2">
        <v>9619</v>
      </c>
      <c r="O328" s="2">
        <v>4553804</v>
      </c>
      <c r="P328" s="1" t="s">
        <v>694</v>
      </c>
      <c r="Q328" s="1" t="s">
        <v>35</v>
      </c>
      <c r="R328" s="1" t="s">
        <v>66</v>
      </c>
      <c r="S328" s="1">
        <v>0</v>
      </c>
      <c r="T328" s="1">
        <v>1</v>
      </c>
      <c r="U328" s="1">
        <f t="shared" si="31"/>
        <v>1</v>
      </c>
      <c r="V328" s="1">
        <v>0</v>
      </c>
      <c r="W328" s="1">
        <f t="shared" si="30"/>
        <v>1</v>
      </c>
      <c r="X328" s="5">
        <f t="shared" si="28"/>
        <v>0</v>
      </c>
    </row>
    <row r="329" spans="1:24" ht="15" customHeight="1">
      <c r="A329" s="6">
        <v>46054</v>
      </c>
      <c r="B329" s="1" t="s">
        <v>49</v>
      </c>
      <c r="C329" s="1" t="s">
        <v>951</v>
      </c>
      <c r="D329" s="1" t="s">
        <v>962</v>
      </c>
      <c r="E329" s="1" t="s">
        <v>956</v>
      </c>
      <c r="F329" s="1" t="s">
        <v>169</v>
      </c>
      <c r="G329" s="1" t="s">
        <v>963</v>
      </c>
      <c r="H329" s="1" t="s">
        <v>54</v>
      </c>
      <c r="I329" s="2">
        <v>28</v>
      </c>
      <c r="J329" s="2">
        <v>8258562</v>
      </c>
      <c r="K329" s="2">
        <v>5631</v>
      </c>
      <c r="L329" s="2">
        <v>0</v>
      </c>
      <c r="M329" s="2">
        <v>0</v>
      </c>
      <c r="N329" s="2">
        <v>306</v>
      </c>
      <c r="O329" s="2">
        <v>8264499</v>
      </c>
      <c r="P329" s="1" t="s">
        <v>694</v>
      </c>
      <c r="Q329" s="1" t="s">
        <v>35</v>
      </c>
      <c r="R329" s="1" t="s">
        <v>66</v>
      </c>
      <c r="S329" s="1">
        <v>1</v>
      </c>
      <c r="T329" s="1">
        <v>0</v>
      </c>
      <c r="U329" s="1">
        <f t="shared" si="31"/>
        <v>1</v>
      </c>
      <c r="V329" s="1">
        <v>0</v>
      </c>
      <c r="W329" s="1">
        <f t="shared" si="30"/>
        <v>1</v>
      </c>
      <c r="X329" s="5">
        <f t="shared" si="28"/>
        <v>100</v>
      </c>
    </row>
    <row r="330" spans="1:24" ht="15" customHeight="1">
      <c r="A330" s="6">
        <v>46054</v>
      </c>
      <c r="B330" s="1" t="s">
        <v>49</v>
      </c>
      <c r="C330" s="1" t="s">
        <v>951</v>
      </c>
      <c r="D330" s="1" t="s">
        <v>964</v>
      </c>
      <c r="E330" s="1" t="s">
        <v>600</v>
      </c>
      <c r="F330" s="1" t="s">
        <v>965</v>
      </c>
      <c r="G330" s="1" t="s">
        <v>966</v>
      </c>
      <c r="H330" s="1" t="s">
        <v>54</v>
      </c>
      <c r="I330" s="2">
        <v>34</v>
      </c>
      <c r="J330" s="2">
        <v>4209390</v>
      </c>
      <c r="K330" s="2">
        <v>6789</v>
      </c>
      <c r="L330" s="2">
        <v>0</v>
      </c>
      <c r="M330" s="2">
        <v>0</v>
      </c>
      <c r="N330" s="2">
        <v>864</v>
      </c>
      <c r="O330" s="2">
        <v>4217043</v>
      </c>
      <c r="P330" s="1" t="s">
        <v>694</v>
      </c>
      <c r="Q330" s="1" t="s">
        <v>35</v>
      </c>
      <c r="R330" s="1" t="s">
        <v>66</v>
      </c>
      <c r="S330" s="1">
        <v>1</v>
      </c>
      <c r="T330" s="1">
        <v>0</v>
      </c>
      <c r="U330" s="1">
        <f t="shared" si="31"/>
        <v>1</v>
      </c>
      <c r="V330" s="1">
        <v>0</v>
      </c>
      <c r="W330" s="1">
        <f t="shared" si="30"/>
        <v>1</v>
      </c>
      <c r="X330" s="5">
        <f t="shared" si="28"/>
        <v>100</v>
      </c>
    </row>
    <row r="331" spans="1:24" ht="15" customHeight="1">
      <c r="A331" s="6">
        <v>46054</v>
      </c>
      <c r="B331" s="1" t="s">
        <v>18</v>
      </c>
      <c r="C331" s="1" t="s">
        <v>967</v>
      </c>
      <c r="D331" s="1" t="s">
        <v>968</v>
      </c>
      <c r="E331" s="1" t="s">
        <v>969</v>
      </c>
      <c r="F331" s="1" t="s">
        <v>970</v>
      </c>
      <c r="G331" s="1"/>
      <c r="H331" s="1" t="s">
        <v>24</v>
      </c>
      <c r="I331" s="2">
        <v>1</v>
      </c>
      <c r="J331" s="2">
        <v>926005</v>
      </c>
      <c r="K331" s="2">
        <v>85</v>
      </c>
      <c r="L331" s="2">
        <v>0</v>
      </c>
      <c r="M331" s="2">
        <v>0</v>
      </c>
      <c r="N331" s="2">
        <v>100</v>
      </c>
      <c r="O331" s="2">
        <v>926190</v>
      </c>
      <c r="P331" s="1" t="s">
        <v>694</v>
      </c>
      <c r="Q331" s="1" t="s">
        <v>26</v>
      </c>
      <c r="R331" s="1" t="s">
        <v>44</v>
      </c>
      <c r="S331" s="1">
        <v>0</v>
      </c>
      <c r="T331" s="1">
        <v>1</v>
      </c>
      <c r="U331" s="1">
        <f t="shared" si="31"/>
        <v>1</v>
      </c>
      <c r="V331" s="1">
        <v>0</v>
      </c>
      <c r="W331" s="1">
        <f t="shared" si="30"/>
        <v>1</v>
      </c>
      <c r="X331" s="5">
        <f t="shared" si="28"/>
        <v>0</v>
      </c>
    </row>
    <row r="332" spans="1:24" ht="15" customHeight="1">
      <c r="A332" s="6">
        <v>46054</v>
      </c>
      <c r="B332" s="1" t="s">
        <v>18</v>
      </c>
      <c r="C332" s="1" t="s">
        <v>967</v>
      </c>
      <c r="D332" s="1" t="s">
        <v>971</v>
      </c>
      <c r="E332" s="1" t="s">
        <v>972</v>
      </c>
      <c r="F332" s="1" t="s">
        <v>973</v>
      </c>
      <c r="G332" s="1" t="s">
        <v>974</v>
      </c>
      <c r="H332" s="1" t="s">
        <v>24</v>
      </c>
      <c r="I332" s="2">
        <v>3</v>
      </c>
      <c r="J332" s="2">
        <v>6460411</v>
      </c>
      <c r="K332" s="2">
        <v>13587</v>
      </c>
      <c r="L332" s="2">
        <v>0</v>
      </c>
      <c r="M332" s="2">
        <v>0</v>
      </c>
      <c r="N332" s="2">
        <v>4364</v>
      </c>
      <c r="O332" s="2">
        <v>6478362</v>
      </c>
      <c r="P332" s="1" t="s">
        <v>694</v>
      </c>
      <c r="Q332" s="1" t="s">
        <v>35</v>
      </c>
      <c r="R332" s="1" t="s">
        <v>975</v>
      </c>
      <c r="S332" s="1">
        <v>0</v>
      </c>
      <c r="T332" s="1">
        <v>1</v>
      </c>
      <c r="U332" s="1">
        <f t="shared" si="31"/>
        <v>1</v>
      </c>
      <c r="V332" s="1">
        <v>0</v>
      </c>
      <c r="W332" s="1">
        <f t="shared" si="30"/>
        <v>1</v>
      </c>
      <c r="X332" s="5">
        <f t="shared" si="28"/>
        <v>0</v>
      </c>
    </row>
    <row r="333" spans="1:24" ht="15" customHeight="1">
      <c r="A333" s="6">
        <v>46054</v>
      </c>
      <c r="B333" s="1" t="s">
        <v>49</v>
      </c>
      <c r="C333" s="1" t="s">
        <v>967</v>
      </c>
      <c r="D333" s="1" t="s">
        <v>976</v>
      </c>
      <c r="E333" s="1" t="s">
        <v>977</v>
      </c>
      <c r="F333" s="1" t="s">
        <v>978</v>
      </c>
      <c r="G333" s="1" t="s">
        <v>979</v>
      </c>
      <c r="H333" s="1" t="s">
        <v>24</v>
      </c>
      <c r="I333" s="2">
        <v>81</v>
      </c>
      <c r="J333" s="2">
        <v>3701267</v>
      </c>
      <c r="K333" s="2">
        <v>1180</v>
      </c>
      <c r="L333" s="2">
        <v>0</v>
      </c>
      <c r="M333" s="2">
        <v>0</v>
      </c>
      <c r="N333" s="2">
        <v>150</v>
      </c>
      <c r="O333" s="2">
        <v>3702597</v>
      </c>
      <c r="P333" s="1" t="s">
        <v>694</v>
      </c>
      <c r="Q333" s="1" t="s">
        <v>35</v>
      </c>
      <c r="R333" s="1" t="s">
        <v>980</v>
      </c>
      <c r="S333" s="1">
        <v>0</v>
      </c>
      <c r="T333" s="1">
        <v>1</v>
      </c>
      <c r="U333" s="1">
        <f t="shared" si="31"/>
        <v>1</v>
      </c>
      <c r="V333" s="1">
        <v>0</v>
      </c>
      <c r="W333" s="1">
        <f t="shared" si="30"/>
        <v>1</v>
      </c>
      <c r="X333" s="5">
        <f t="shared" si="28"/>
        <v>0</v>
      </c>
    </row>
    <row r="334" spans="1:24" ht="15" customHeight="1">
      <c r="A334" s="6">
        <v>46054</v>
      </c>
      <c r="B334" s="1" t="s">
        <v>49</v>
      </c>
      <c r="C334" s="1" t="s">
        <v>967</v>
      </c>
      <c r="D334" s="1" t="s">
        <v>981</v>
      </c>
      <c r="E334" s="1" t="s">
        <v>600</v>
      </c>
      <c r="F334" s="1" t="s">
        <v>169</v>
      </c>
      <c r="G334" s="1" t="s">
        <v>982</v>
      </c>
      <c r="H334" s="1" t="s">
        <v>54</v>
      </c>
      <c r="I334" s="2">
        <v>22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1" t="s">
        <v>694</v>
      </c>
      <c r="Q334" s="1" t="s">
        <v>26</v>
      </c>
      <c r="R334" s="1" t="s">
        <v>153</v>
      </c>
      <c r="S334" s="1">
        <v>0</v>
      </c>
      <c r="T334" s="1">
        <v>0</v>
      </c>
      <c r="U334" s="1">
        <f t="shared" si="31"/>
        <v>0</v>
      </c>
      <c r="V334" s="1">
        <v>1</v>
      </c>
      <c r="W334" s="1">
        <f t="shared" si="30"/>
        <v>1</v>
      </c>
      <c r="X334" s="5" t="e">
        <f t="shared" si="28"/>
        <v>#DIV/0!</v>
      </c>
    </row>
    <row r="335" spans="1:24" ht="15" customHeight="1">
      <c r="A335" s="6">
        <v>46054</v>
      </c>
      <c r="B335" s="1" t="s">
        <v>49</v>
      </c>
      <c r="C335" s="1" t="s">
        <v>967</v>
      </c>
      <c r="D335" s="1" t="s">
        <v>983</v>
      </c>
      <c r="E335" s="1" t="s">
        <v>984</v>
      </c>
      <c r="F335" s="1" t="s">
        <v>985</v>
      </c>
      <c r="G335" s="1" t="s">
        <v>986</v>
      </c>
      <c r="H335" s="1" t="s">
        <v>54</v>
      </c>
      <c r="I335" s="2">
        <v>1</v>
      </c>
      <c r="J335" s="2">
        <v>6890440</v>
      </c>
      <c r="K335" s="2">
        <v>0</v>
      </c>
      <c r="L335" s="2">
        <v>0</v>
      </c>
      <c r="M335" s="2">
        <v>0</v>
      </c>
      <c r="N335" s="2">
        <v>0</v>
      </c>
      <c r="O335" s="2">
        <v>6890440</v>
      </c>
      <c r="P335" s="1" t="s">
        <v>694</v>
      </c>
      <c r="Q335" s="1" t="s">
        <v>26</v>
      </c>
      <c r="R335" s="1" t="s">
        <v>975</v>
      </c>
      <c r="S335" s="1">
        <v>0</v>
      </c>
      <c r="T335" s="1">
        <v>0</v>
      </c>
      <c r="U335" s="1">
        <f t="shared" si="31"/>
        <v>0</v>
      </c>
      <c r="V335" s="1">
        <v>1</v>
      </c>
      <c r="W335" s="1">
        <f t="shared" si="30"/>
        <v>1</v>
      </c>
      <c r="X335" s="5" t="e">
        <f t="shared" si="28"/>
        <v>#DIV/0!</v>
      </c>
    </row>
    <row r="336" spans="1:24" ht="15" customHeight="1">
      <c r="A336" s="6">
        <v>46054</v>
      </c>
      <c r="B336" s="1" t="s">
        <v>18</v>
      </c>
      <c r="C336" s="1" t="s">
        <v>987</v>
      </c>
      <c r="D336" s="1" t="s">
        <v>123</v>
      </c>
      <c r="E336" s="1" t="s">
        <v>658</v>
      </c>
      <c r="F336" s="1" t="s">
        <v>988</v>
      </c>
      <c r="G336" s="1"/>
      <c r="H336" s="1" t="s">
        <v>24</v>
      </c>
      <c r="I336" s="2">
        <v>2</v>
      </c>
      <c r="J336" s="2">
        <v>780707</v>
      </c>
      <c r="K336" s="2">
        <v>33276</v>
      </c>
      <c r="L336" s="2">
        <v>0</v>
      </c>
      <c r="M336" s="2">
        <v>0</v>
      </c>
      <c r="N336" s="2">
        <v>2210</v>
      </c>
      <c r="O336" s="2">
        <v>816193</v>
      </c>
      <c r="P336" s="1" t="s">
        <v>694</v>
      </c>
      <c r="Q336" s="1" t="s">
        <v>35</v>
      </c>
      <c r="R336" s="1" t="s">
        <v>153</v>
      </c>
      <c r="S336" s="1">
        <v>0</v>
      </c>
      <c r="T336" s="1">
        <v>1</v>
      </c>
      <c r="U336" s="1">
        <f t="shared" si="31"/>
        <v>1</v>
      </c>
      <c r="V336" s="1">
        <v>0</v>
      </c>
      <c r="W336" s="1">
        <f t="shared" si="30"/>
        <v>1</v>
      </c>
      <c r="X336" s="5">
        <f t="shared" si="28"/>
        <v>0</v>
      </c>
    </row>
    <row r="337" spans="1:24" ht="15" customHeight="1">
      <c r="A337" s="6">
        <v>46054</v>
      </c>
      <c r="B337" s="1" t="s">
        <v>18</v>
      </c>
      <c r="C337" s="1" t="s">
        <v>989</v>
      </c>
      <c r="D337" s="1" t="s">
        <v>990</v>
      </c>
      <c r="E337" s="1" t="s">
        <v>991</v>
      </c>
      <c r="F337" s="1" t="s">
        <v>992</v>
      </c>
      <c r="G337" s="1"/>
      <c r="H337" s="1" t="s">
        <v>24</v>
      </c>
      <c r="I337" s="2">
        <v>1</v>
      </c>
      <c r="J337" s="2">
        <v>1152036</v>
      </c>
      <c r="K337" s="2">
        <v>43829</v>
      </c>
      <c r="L337" s="2">
        <v>0</v>
      </c>
      <c r="M337" s="2">
        <v>0</v>
      </c>
      <c r="N337" s="2">
        <v>7150</v>
      </c>
      <c r="O337" s="2">
        <v>1203015</v>
      </c>
      <c r="P337" s="1" t="s">
        <v>993</v>
      </c>
      <c r="Q337" s="1" t="s">
        <v>35</v>
      </c>
      <c r="R337" s="1" t="s">
        <v>27</v>
      </c>
      <c r="S337" s="1">
        <v>1</v>
      </c>
      <c r="T337" s="1">
        <v>0</v>
      </c>
      <c r="U337" s="1">
        <f t="shared" si="31"/>
        <v>1</v>
      </c>
      <c r="V337" s="1">
        <v>0</v>
      </c>
      <c r="W337" s="1">
        <f t="shared" si="30"/>
        <v>1</v>
      </c>
      <c r="X337" s="5">
        <f t="shared" si="28"/>
        <v>100</v>
      </c>
    </row>
    <row r="338" spans="1:24" ht="15" customHeight="1">
      <c r="A338" s="6">
        <v>46054</v>
      </c>
      <c r="B338" s="1" t="s">
        <v>18</v>
      </c>
      <c r="C338" s="1" t="s">
        <v>989</v>
      </c>
      <c r="D338" s="1" t="s">
        <v>994</v>
      </c>
      <c r="E338" s="1" t="s">
        <v>995</v>
      </c>
      <c r="F338" s="1" t="s">
        <v>996</v>
      </c>
      <c r="G338" s="1" t="s">
        <v>997</v>
      </c>
      <c r="H338" s="1" t="s">
        <v>24</v>
      </c>
      <c r="I338" s="2">
        <v>0.66</v>
      </c>
      <c r="J338" s="2">
        <v>419340</v>
      </c>
      <c r="K338" s="2">
        <v>0</v>
      </c>
      <c r="L338" s="2">
        <v>0</v>
      </c>
      <c r="M338" s="2">
        <v>0</v>
      </c>
      <c r="N338" s="2">
        <v>100</v>
      </c>
      <c r="O338" s="2">
        <v>419440</v>
      </c>
      <c r="P338" s="1" t="s">
        <v>993</v>
      </c>
      <c r="Q338" s="1" t="s">
        <v>26</v>
      </c>
      <c r="R338" s="1" t="s">
        <v>998</v>
      </c>
      <c r="S338" s="1">
        <v>1</v>
      </c>
      <c r="T338" s="1">
        <v>0</v>
      </c>
      <c r="U338" s="1">
        <f t="shared" si="31"/>
        <v>1</v>
      </c>
      <c r="V338" s="1">
        <v>0</v>
      </c>
      <c r="W338" s="1">
        <f t="shared" si="30"/>
        <v>1</v>
      </c>
      <c r="X338" s="5">
        <f t="shared" si="28"/>
        <v>100</v>
      </c>
    </row>
    <row r="339" spans="1:24" ht="15" customHeight="1">
      <c r="A339" s="6">
        <v>46054</v>
      </c>
      <c r="B339" s="1" t="s">
        <v>49</v>
      </c>
      <c r="C339" s="1" t="s">
        <v>989</v>
      </c>
      <c r="D339" s="1" t="s">
        <v>999</v>
      </c>
      <c r="E339" s="1" t="s">
        <v>1000</v>
      </c>
      <c r="F339" s="1" t="s">
        <v>169</v>
      </c>
      <c r="G339" s="1" t="s">
        <v>1001</v>
      </c>
      <c r="H339" s="1" t="s">
        <v>54</v>
      </c>
      <c r="I339" s="2">
        <v>3</v>
      </c>
      <c r="J339" s="2">
        <v>-41239</v>
      </c>
      <c r="K339" s="2">
        <v>0</v>
      </c>
      <c r="L339" s="2">
        <v>0</v>
      </c>
      <c r="M339" s="2">
        <v>0</v>
      </c>
      <c r="N339" s="2">
        <v>0</v>
      </c>
      <c r="O339" s="2">
        <v>-41239</v>
      </c>
      <c r="P339" s="1" t="s">
        <v>694</v>
      </c>
      <c r="Q339" s="1" t="s">
        <v>26</v>
      </c>
      <c r="R339" s="1" t="s">
        <v>153</v>
      </c>
      <c r="S339" s="1">
        <v>0</v>
      </c>
      <c r="T339" s="1">
        <v>0</v>
      </c>
      <c r="U339" s="1">
        <f t="shared" si="31"/>
        <v>0</v>
      </c>
      <c r="V339" s="1">
        <v>1</v>
      </c>
      <c r="W339" s="1">
        <f t="shared" si="30"/>
        <v>1</v>
      </c>
      <c r="X339" s="5" t="e">
        <f t="shared" si="28"/>
        <v>#DIV/0!</v>
      </c>
    </row>
    <row r="340" spans="1:24" ht="15" customHeight="1">
      <c r="A340" s="6">
        <v>46054</v>
      </c>
      <c r="B340" s="1" t="s">
        <v>49</v>
      </c>
      <c r="C340" s="1" t="s">
        <v>989</v>
      </c>
      <c r="D340" s="1" t="s">
        <v>1002</v>
      </c>
      <c r="E340" s="1" t="s">
        <v>1000</v>
      </c>
      <c r="F340" s="1" t="s">
        <v>169</v>
      </c>
      <c r="G340" s="1" t="s">
        <v>1001</v>
      </c>
      <c r="H340" s="1" t="s">
        <v>54</v>
      </c>
      <c r="I340" s="2">
        <v>3</v>
      </c>
      <c r="J340" s="2">
        <v>8930</v>
      </c>
      <c r="K340" s="2">
        <v>0</v>
      </c>
      <c r="L340" s="2">
        <v>0</v>
      </c>
      <c r="M340" s="2">
        <v>0</v>
      </c>
      <c r="N340" s="2">
        <v>0</v>
      </c>
      <c r="O340" s="2">
        <v>8930</v>
      </c>
      <c r="P340" s="1" t="s">
        <v>694</v>
      </c>
      <c r="Q340" s="1" t="s">
        <v>26</v>
      </c>
      <c r="R340" s="1" t="s">
        <v>153</v>
      </c>
      <c r="S340" s="1">
        <v>0</v>
      </c>
      <c r="T340" s="1">
        <v>0</v>
      </c>
      <c r="U340" s="1">
        <f t="shared" si="31"/>
        <v>0</v>
      </c>
      <c r="V340" s="1">
        <v>1</v>
      </c>
      <c r="W340" s="1">
        <f t="shared" si="30"/>
        <v>1</v>
      </c>
      <c r="X340" s="5" t="e">
        <f t="shared" si="28"/>
        <v>#DIV/0!</v>
      </c>
    </row>
    <row r="341" spans="1:24" ht="15" customHeight="1">
      <c r="A341" s="6">
        <v>46054</v>
      </c>
      <c r="B341" s="1" t="s">
        <v>61</v>
      </c>
      <c r="C341" s="1" t="s">
        <v>989</v>
      </c>
      <c r="D341" s="1" t="s">
        <v>1003</v>
      </c>
      <c r="E341" s="1" t="s">
        <v>669</v>
      </c>
      <c r="F341" s="1" t="s">
        <v>1004</v>
      </c>
      <c r="G341" s="1" t="s">
        <v>1005</v>
      </c>
      <c r="H341" s="1" t="s">
        <v>54</v>
      </c>
      <c r="I341" s="2">
        <v>10</v>
      </c>
      <c r="J341" s="2">
        <v>1417593</v>
      </c>
      <c r="K341" s="2">
        <v>0</v>
      </c>
      <c r="L341" s="2">
        <v>0</v>
      </c>
      <c r="M341" s="2">
        <v>0</v>
      </c>
      <c r="N341" s="2">
        <v>0</v>
      </c>
      <c r="O341" s="2">
        <v>1417593</v>
      </c>
      <c r="P341" s="1" t="s">
        <v>25</v>
      </c>
      <c r="Q341" s="1" t="s">
        <v>26</v>
      </c>
      <c r="R341" s="1" t="s">
        <v>66</v>
      </c>
      <c r="S341" s="1">
        <v>0</v>
      </c>
      <c r="T341" s="1">
        <v>1</v>
      </c>
      <c r="U341" s="1">
        <f t="shared" si="31"/>
        <v>1</v>
      </c>
      <c r="V341" s="1">
        <v>0</v>
      </c>
      <c r="W341" s="1">
        <f t="shared" si="30"/>
        <v>1</v>
      </c>
      <c r="X341" s="5">
        <f t="shared" si="28"/>
        <v>0</v>
      </c>
    </row>
    <row r="342" spans="1:24" ht="15" customHeight="1">
      <c r="A342" s="6">
        <v>46054</v>
      </c>
      <c r="B342" s="1" t="s">
        <v>18</v>
      </c>
      <c r="C342" s="1" t="s">
        <v>1006</v>
      </c>
      <c r="D342" s="1" t="s">
        <v>1008</v>
      </c>
      <c r="E342" s="1" t="s">
        <v>1009</v>
      </c>
      <c r="F342" s="1" t="s">
        <v>1010</v>
      </c>
      <c r="G342" s="1" t="s">
        <v>1011</v>
      </c>
      <c r="H342" s="1" t="s">
        <v>24</v>
      </c>
      <c r="I342" s="2">
        <v>2</v>
      </c>
      <c r="J342" s="2">
        <v>-2485</v>
      </c>
      <c r="K342" s="2">
        <v>0</v>
      </c>
      <c r="L342" s="2">
        <v>0</v>
      </c>
      <c r="M342" s="2">
        <v>0</v>
      </c>
      <c r="N342" s="2">
        <v>0</v>
      </c>
      <c r="O342" s="2">
        <v>-2485</v>
      </c>
      <c r="P342" s="1" t="s">
        <v>1007</v>
      </c>
      <c r="Q342" s="1" t="s">
        <v>26</v>
      </c>
      <c r="R342" s="1" t="s">
        <v>153</v>
      </c>
      <c r="S342" s="1">
        <v>0</v>
      </c>
      <c r="T342" s="1">
        <v>0</v>
      </c>
      <c r="U342" s="1">
        <f t="shared" si="31"/>
        <v>0</v>
      </c>
      <c r="V342" s="1">
        <v>1</v>
      </c>
      <c r="W342" s="1">
        <f t="shared" si="30"/>
        <v>1</v>
      </c>
      <c r="X342" s="5" t="e">
        <f t="shared" si="28"/>
        <v>#DIV/0!</v>
      </c>
    </row>
    <row r="343" spans="1:24" ht="15" customHeight="1">
      <c r="A343" s="6">
        <v>46054</v>
      </c>
      <c r="B343" s="1" t="s">
        <v>18</v>
      </c>
      <c r="C343" s="1" t="s">
        <v>1006</v>
      </c>
      <c r="D343" s="1" t="s">
        <v>1012</v>
      </c>
      <c r="E343" s="1" t="s">
        <v>1013</v>
      </c>
      <c r="F343" s="1" t="s">
        <v>1014</v>
      </c>
      <c r="G343" s="1"/>
      <c r="H343" s="1" t="s">
        <v>24</v>
      </c>
      <c r="I343" s="2">
        <v>1</v>
      </c>
      <c r="J343" s="2">
        <v>-730</v>
      </c>
      <c r="K343" s="2">
        <v>0</v>
      </c>
      <c r="L343" s="2">
        <v>0</v>
      </c>
      <c r="M343" s="2">
        <v>0</v>
      </c>
      <c r="N343" s="2">
        <v>0</v>
      </c>
      <c r="O343" s="2">
        <v>-730</v>
      </c>
      <c r="P343" s="1" t="s">
        <v>1015</v>
      </c>
      <c r="Q343" s="1" t="s">
        <v>26</v>
      </c>
      <c r="R343" s="1" t="s">
        <v>153</v>
      </c>
      <c r="S343" s="1">
        <v>0</v>
      </c>
      <c r="T343" s="1">
        <v>0</v>
      </c>
      <c r="U343" s="1">
        <f t="shared" si="31"/>
        <v>0</v>
      </c>
      <c r="V343" s="1">
        <v>1</v>
      </c>
      <c r="W343" s="1">
        <f t="shared" si="30"/>
        <v>1</v>
      </c>
      <c r="X343" s="5" t="e">
        <f t="shared" si="28"/>
        <v>#DIV/0!</v>
      </c>
    </row>
    <row r="344" spans="1:24" ht="15" customHeight="1">
      <c r="A344" s="6">
        <v>46054</v>
      </c>
      <c r="B344" s="1" t="s">
        <v>18</v>
      </c>
      <c r="C344" s="1" t="s">
        <v>1006</v>
      </c>
      <c r="D344" s="1" t="s">
        <v>1016</v>
      </c>
      <c r="E344" s="1" t="s">
        <v>623</v>
      </c>
      <c r="F344" s="1" t="s">
        <v>1017</v>
      </c>
      <c r="G344" s="1"/>
      <c r="H344" s="1" t="s">
        <v>24</v>
      </c>
      <c r="I344" s="2">
        <v>8</v>
      </c>
      <c r="J344" s="2">
        <v>73435</v>
      </c>
      <c r="K344" s="2">
        <v>0</v>
      </c>
      <c r="L344" s="2">
        <v>0</v>
      </c>
      <c r="M344" s="2">
        <v>0</v>
      </c>
      <c r="N344" s="2">
        <v>0</v>
      </c>
      <c r="O344" s="2">
        <v>73435</v>
      </c>
      <c r="P344" s="1" t="s">
        <v>1018</v>
      </c>
      <c r="Q344" s="1" t="s">
        <v>26</v>
      </c>
      <c r="R344" s="1" t="s">
        <v>732</v>
      </c>
      <c r="S344" s="1">
        <v>0</v>
      </c>
      <c r="T344" s="1">
        <v>0</v>
      </c>
      <c r="U344" s="1">
        <f t="shared" si="31"/>
        <v>0</v>
      </c>
      <c r="V344" s="1">
        <v>1</v>
      </c>
      <c r="W344" s="1">
        <f t="shared" si="30"/>
        <v>1</v>
      </c>
      <c r="X344" s="5" t="e">
        <f t="shared" si="28"/>
        <v>#DIV/0!</v>
      </c>
    </row>
    <row r="345" spans="1:24" ht="15" customHeight="1">
      <c r="A345" s="6">
        <v>46054</v>
      </c>
      <c r="B345" s="1" t="s">
        <v>18</v>
      </c>
      <c r="C345" s="1" t="s">
        <v>1006</v>
      </c>
      <c r="D345" s="1" t="s">
        <v>1019</v>
      </c>
      <c r="E345" s="1" t="s">
        <v>1020</v>
      </c>
      <c r="F345" s="1" t="s">
        <v>1021</v>
      </c>
      <c r="G345" s="1" t="s">
        <v>1022</v>
      </c>
      <c r="H345" s="1" t="s">
        <v>24</v>
      </c>
      <c r="I345" s="2">
        <v>3</v>
      </c>
      <c r="J345" s="2">
        <v>135300</v>
      </c>
      <c r="K345" s="2">
        <v>1180</v>
      </c>
      <c r="L345" s="2">
        <v>0</v>
      </c>
      <c r="M345" s="2">
        <v>0</v>
      </c>
      <c r="N345" s="2">
        <v>100</v>
      </c>
      <c r="O345" s="2">
        <v>136580</v>
      </c>
      <c r="P345" s="1" t="s">
        <v>1015</v>
      </c>
      <c r="Q345" s="1" t="s">
        <v>35</v>
      </c>
      <c r="R345" s="1" t="s">
        <v>153</v>
      </c>
      <c r="S345" s="1">
        <v>1</v>
      </c>
      <c r="T345" s="1">
        <v>0</v>
      </c>
      <c r="U345" s="1">
        <f t="shared" si="31"/>
        <v>1</v>
      </c>
      <c r="V345" s="1">
        <v>0</v>
      </c>
      <c r="W345" s="1">
        <f t="shared" si="30"/>
        <v>1</v>
      </c>
      <c r="X345" s="5">
        <f t="shared" si="28"/>
        <v>100</v>
      </c>
    </row>
    <row r="346" spans="1:24" ht="15" customHeight="1">
      <c r="A346" s="6">
        <v>46054</v>
      </c>
      <c r="B346" s="1" t="s">
        <v>18</v>
      </c>
      <c r="C346" s="1" t="s">
        <v>1006</v>
      </c>
      <c r="D346" s="1" t="s">
        <v>1023</v>
      </c>
      <c r="E346" s="1" t="s">
        <v>1024</v>
      </c>
      <c r="F346" s="1" t="s">
        <v>1017</v>
      </c>
      <c r="G346" s="1"/>
      <c r="H346" s="1" t="s">
        <v>24</v>
      </c>
      <c r="I346" s="2">
        <v>5</v>
      </c>
      <c r="J346" s="2">
        <v>1817228</v>
      </c>
      <c r="K346" s="2">
        <v>56948</v>
      </c>
      <c r="L346" s="2">
        <v>0</v>
      </c>
      <c r="M346" s="2">
        <v>0</v>
      </c>
      <c r="N346" s="2">
        <v>7374</v>
      </c>
      <c r="O346" s="2">
        <v>1881550</v>
      </c>
      <c r="P346" s="1" t="s">
        <v>1018</v>
      </c>
      <c r="Q346" s="1" t="s">
        <v>35</v>
      </c>
      <c r="R346" s="1" t="s">
        <v>906</v>
      </c>
      <c r="S346" s="1">
        <v>1</v>
      </c>
      <c r="T346" s="1">
        <v>0</v>
      </c>
      <c r="U346" s="1">
        <f t="shared" si="31"/>
        <v>1</v>
      </c>
      <c r="V346" s="1">
        <v>0</v>
      </c>
      <c r="W346" s="1">
        <f t="shared" si="30"/>
        <v>1</v>
      </c>
      <c r="X346" s="5">
        <f t="shared" si="28"/>
        <v>100</v>
      </c>
    </row>
    <row r="347" spans="1:24" ht="15" customHeight="1">
      <c r="A347" s="6">
        <v>46054</v>
      </c>
      <c r="B347" s="1" t="s">
        <v>18</v>
      </c>
      <c r="C347" s="1" t="s">
        <v>1006</v>
      </c>
      <c r="D347" s="1" t="s">
        <v>1025</v>
      </c>
      <c r="E347" s="1" t="s">
        <v>1026</v>
      </c>
      <c r="F347" s="1" t="s">
        <v>1027</v>
      </c>
      <c r="G347" s="1" t="s">
        <v>1028</v>
      </c>
      <c r="H347" s="1" t="s">
        <v>24</v>
      </c>
      <c r="I347" s="2">
        <v>1</v>
      </c>
      <c r="J347" s="2">
        <v>88539</v>
      </c>
      <c r="K347" s="2">
        <v>0</v>
      </c>
      <c r="L347" s="2">
        <v>0</v>
      </c>
      <c r="M347" s="2">
        <v>0</v>
      </c>
      <c r="N347" s="2">
        <v>0</v>
      </c>
      <c r="O347" s="2">
        <v>88539</v>
      </c>
      <c r="P347" s="1" t="s">
        <v>1015</v>
      </c>
      <c r="Q347" s="1" t="s">
        <v>26</v>
      </c>
      <c r="R347" s="1" t="s">
        <v>153</v>
      </c>
      <c r="S347" s="1">
        <v>0</v>
      </c>
      <c r="T347" s="1">
        <v>0</v>
      </c>
      <c r="U347" s="1">
        <f t="shared" si="31"/>
        <v>0</v>
      </c>
      <c r="V347" s="1">
        <v>1</v>
      </c>
      <c r="W347" s="1">
        <f t="shared" si="30"/>
        <v>1</v>
      </c>
      <c r="X347" s="5" t="e">
        <f t="shared" si="28"/>
        <v>#DIV/0!</v>
      </c>
    </row>
    <row r="348" spans="1:24" ht="15" customHeight="1">
      <c r="A348" s="6">
        <v>46054</v>
      </c>
      <c r="B348" s="1" t="s">
        <v>18</v>
      </c>
      <c r="C348" s="1" t="s">
        <v>1006</v>
      </c>
      <c r="D348" s="1" t="s">
        <v>1029</v>
      </c>
      <c r="E348" s="1" t="s">
        <v>1030</v>
      </c>
      <c r="F348" s="1" t="s">
        <v>1031</v>
      </c>
      <c r="G348" s="1" t="s">
        <v>1032</v>
      </c>
      <c r="H348" s="1" t="s">
        <v>24</v>
      </c>
      <c r="I348" s="2">
        <v>1</v>
      </c>
      <c r="J348" s="2">
        <v>-4532</v>
      </c>
      <c r="K348" s="2">
        <v>0</v>
      </c>
      <c r="L348" s="2">
        <v>0</v>
      </c>
      <c r="M348" s="2">
        <v>0</v>
      </c>
      <c r="N348" s="2">
        <v>0</v>
      </c>
      <c r="O348" s="2">
        <v>-4532</v>
      </c>
      <c r="P348" s="1" t="s">
        <v>1033</v>
      </c>
      <c r="Q348" s="1" t="s">
        <v>26</v>
      </c>
      <c r="R348" s="1" t="s">
        <v>27</v>
      </c>
      <c r="S348" s="1">
        <v>0</v>
      </c>
      <c r="T348" s="1">
        <v>0</v>
      </c>
      <c r="U348" s="1">
        <f t="shared" si="31"/>
        <v>0</v>
      </c>
      <c r="V348" s="1">
        <v>1</v>
      </c>
      <c r="W348" s="1">
        <f t="shared" si="30"/>
        <v>1</v>
      </c>
      <c r="X348" s="5" t="e">
        <f t="shared" si="28"/>
        <v>#DIV/0!</v>
      </c>
    </row>
    <row r="349" spans="1:24" ht="15" customHeight="1">
      <c r="A349" s="6">
        <v>46054</v>
      </c>
      <c r="B349" s="1" t="s">
        <v>18</v>
      </c>
      <c r="C349" s="1" t="s">
        <v>1006</v>
      </c>
      <c r="D349" s="1" t="s">
        <v>1034</v>
      </c>
      <c r="E349" s="1" t="s">
        <v>1035</v>
      </c>
      <c r="F349" s="1" t="s">
        <v>1036</v>
      </c>
      <c r="G349" s="1"/>
      <c r="H349" s="1" t="s">
        <v>24</v>
      </c>
      <c r="I349" s="2">
        <v>1</v>
      </c>
      <c r="J349" s="2">
        <v>-6160</v>
      </c>
      <c r="K349" s="2">
        <v>0</v>
      </c>
      <c r="L349" s="2">
        <v>0</v>
      </c>
      <c r="M349" s="2">
        <v>0</v>
      </c>
      <c r="N349" s="2">
        <v>0</v>
      </c>
      <c r="O349" s="2">
        <v>-6160</v>
      </c>
      <c r="P349" s="1" t="s">
        <v>1033</v>
      </c>
      <c r="Q349" s="1" t="s">
        <v>26</v>
      </c>
      <c r="R349" s="1" t="s">
        <v>732</v>
      </c>
      <c r="S349" s="1">
        <v>0</v>
      </c>
      <c r="T349" s="1">
        <v>0</v>
      </c>
      <c r="U349" s="1">
        <f t="shared" si="31"/>
        <v>0</v>
      </c>
      <c r="V349" s="1">
        <v>1</v>
      </c>
      <c r="W349" s="1">
        <f t="shared" si="30"/>
        <v>1</v>
      </c>
      <c r="X349" s="5" t="e">
        <f t="shared" si="28"/>
        <v>#DIV/0!</v>
      </c>
    </row>
    <row r="350" spans="1:24" ht="15" customHeight="1">
      <c r="A350" s="6">
        <v>46054</v>
      </c>
      <c r="B350" s="1" t="s">
        <v>49</v>
      </c>
      <c r="C350" s="1" t="s">
        <v>1006</v>
      </c>
      <c r="D350" s="1" t="s">
        <v>1397</v>
      </c>
      <c r="E350" s="1" t="s">
        <v>1398</v>
      </c>
      <c r="F350" s="1" t="s">
        <v>1399</v>
      </c>
      <c r="G350" s="1" t="s">
        <v>1017</v>
      </c>
      <c r="H350" s="1" t="s">
        <v>24</v>
      </c>
      <c r="I350" s="2">
        <v>136</v>
      </c>
      <c r="J350" s="2">
        <v>29042328</v>
      </c>
      <c r="K350" s="2">
        <v>670086</v>
      </c>
      <c r="L350" s="2">
        <v>0</v>
      </c>
      <c r="M350" s="2">
        <v>0</v>
      </c>
      <c r="N350" s="2">
        <v>56742</v>
      </c>
      <c r="O350" s="2">
        <v>29769156</v>
      </c>
      <c r="P350" s="1" t="s">
        <v>1015</v>
      </c>
      <c r="Q350" s="1" t="s">
        <v>35</v>
      </c>
      <c r="R350" s="1" t="s">
        <v>1400</v>
      </c>
      <c r="S350" s="1">
        <v>1</v>
      </c>
      <c r="T350" s="1">
        <v>0</v>
      </c>
      <c r="U350" s="1">
        <f t="shared" si="31"/>
        <v>1</v>
      </c>
      <c r="V350" s="1">
        <v>0</v>
      </c>
      <c r="W350" s="1">
        <f t="shared" si="30"/>
        <v>1</v>
      </c>
      <c r="X350" s="5">
        <f t="shared" si="28"/>
        <v>100</v>
      </c>
    </row>
    <row r="351" spans="1:24" ht="15" customHeight="1">
      <c r="A351" s="6">
        <v>46054</v>
      </c>
      <c r="B351" s="1" t="s">
        <v>49</v>
      </c>
      <c r="C351" s="1" t="s">
        <v>1006</v>
      </c>
      <c r="D351" s="1" t="s">
        <v>1401</v>
      </c>
      <c r="E351" s="1" t="s">
        <v>1402</v>
      </c>
      <c r="F351" s="1" t="s">
        <v>1403</v>
      </c>
      <c r="G351" s="1" t="s">
        <v>1017</v>
      </c>
      <c r="H351" s="1" t="s">
        <v>24</v>
      </c>
      <c r="I351" s="2">
        <v>85.07</v>
      </c>
      <c r="J351" s="2">
        <v>17422228</v>
      </c>
      <c r="K351" s="2">
        <v>36547</v>
      </c>
      <c r="L351" s="2">
        <v>0</v>
      </c>
      <c r="M351" s="2">
        <v>0</v>
      </c>
      <c r="N351" s="2">
        <v>5777</v>
      </c>
      <c r="O351" s="2">
        <v>17464552</v>
      </c>
      <c r="P351" s="1" t="s">
        <v>1015</v>
      </c>
      <c r="Q351" s="1" t="s">
        <v>35</v>
      </c>
      <c r="R351" s="1" t="s">
        <v>1400</v>
      </c>
      <c r="S351" s="1">
        <v>1</v>
      </c>
      <c r="T351" s="1">
        <v>0</v>
      </c>
      <c r="U351" s="1">
        <f t="shared" si="31"/>
        <v>1</v>
      </c>
      <c r="V351" s="1">
        <v>0</v>
      </c>
      <c r="W351" s="1">
        <f t="shared" si="30"/>
        <v>1</v>
      </c>
      <c r="X351" s="5">
        <f t="shared" si="28"/>
        <v>100</v>
      </c>
    </row>
    <row r="352" spans="1:24" ht="15" customHeight="1">
      <c r="A352" s="6">
        <v>46054</v>
      </c>
      <c r="B352" s="1" t="s">
        <v>49</v>
      </c>
      <c r="C352" s="1" t="s">
        <v>1006</v>
      </c>
      <c r="D352" s="1" t="s">
        <v>1037</v>
      </c>
      <c r="E352" s="1" t="s">
        <v>1038</v>
      </c>
      <c r="F352" s="1" t="s">
        <v>169</v>
      </c>
      <c r="G352" s="1" t="s">
        <v>1039</v>
      </c>
      <c r="H352" s="1" t="s">
        <v>54</v>
      </c>
      <c r="I352" s="2">
        <v>13</v>
      </c>
      <c r="J352" s="2">
        <v>1898944</v>
      </c>
      <c r="K352" s="2">
        <v>0</v>
      </c>
      <c r="L352" s="2">
        <v>0</v>
      </c>
      <c r="M352" s="2">
        <v>0</v>
      </c>
      <c r="N352" s="2">
        <v>0</v>
      </c>
      <c r="O352" s="2">
        <v>1898944</v>
      </c>
      <c r="P352" s="1" t="s">
        <v>1015</v>
      </c>
      <c r="Q352" s="1" t="s">
        <v>26</v>
      </c>
      <c r="R352" s="1" t="s">
        <v>1040</v>
      </c>
      <c r="S352" s="1">
        <v>0</v>
      </c>
      <c r="T352" s="1">
        <v>0</v>
      </c>
      <c r="U352" s="1">
        <f t="shared" si="31"/>
        <v>0</v>
      </c>
      <c r="V352" s="1">
        <v>1</v>
      </c>
      <c r="W352" s="1">
        <f t="shared" si="30"/>
        <v>1</v>
      </c>
      <c r="X352" s="5" t="e">
        <f t="shared" si="28"/>
        <v>#DIV/0!</v>
      </c>
    </row>
    <row r="353" spans="1:24" ht="15" customHeight="1">
      <c r="A353" s="6">
        <v>46054</v>
      </c>
      <c r="B353" s="1" t="s">
        <v>18</v>
      </c>
      <c r="C353" s="1" t="s">
        <v>1041</v>
      </c>
      <c r="D353" s="1" t="s">
        <v>1042</v>
      </c>
      <c r="E353" s="1" t="s">
        <v>1043</v>
      </c>
      <c r="F353" s="1" t="s">
        <v>1044</v>
      </c>
      <c r="G353" s="1" t="s">
        <v>1045</v>
      </c>
      <c r="H353" s="1" t="s">
        <v>24</v>
      </c>
      <c r="I353" s="2">
        <v>1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1" t="s">
        <v>1046</v>
      </c>
      <c r="Q353" s="1" t="s">
        <v>26</v>
      </c>
      <c r="R353" s="1" t="s">
        <v>1047</v>
      </c>
      <c r="S353" s="1">
        <v>0</v>
      </c>
      <c r="T353" s="1">
        <v>0</v>
      </c>
      <c r="U353" s="1">
        <f t="shared" si="31"/>
        <v>0</v>
      </c>
      <c r="V353" s="1">
        <v>1</v>
      </c>
      <c r="W353" s="1">
        <f t="shared" si="30"/>
        <v>1</v>
      </c>
      <c r="X353" s="5" t="e">
        <f t="shared" si="28"/>
        <v>#DIV/0!</v>
      </c>
    </row>
    <row r="354" spans="1:24" ht="15" customHeight="1">
      <c r="A354" s="6">
        <v>46054</v>
      </c>
      <c r="B354" s="1" t="s">
        <v>18</v>
      </c>
      <c r="C354" s="1" t="s">
        <v>1041</v>
      </c>
      <c r="D354" s="1" t="s">
        <v>1048</v>
      </c>
      <c r="E354" s="1" t="s">
        <v>1049</v>
      </c>
      <c r="F354" s="1" t="s">
        <v>1050</v>
      </c>
      <c r="G354" s="1" t="s">
        <v>1051</v>
      </c>
      <c r="H354" s="1" t="s">
        <v>24</v>
      </c>
      <c r="I354" s="2">
        <v>1</v>
      </c>
      <c r="J354" s="2">
        <v>3900041</v>
      </c>
      <c r="K354" s="2">
        <v>530556</v>
      </c>
      <c r="L354" s="2">
        <v>0</v>
      </c>
      <c r="M354" s="2">
        <v>0</v>
      </c>
      <c r="N354" s="2">
        <v>708</v>
      </c>
      <c r="O354" s="2">
        <v>4431305</v>
      </c>
      <c r="P354" s="1" t="s">
        <v>1046</v>
      </c>
      <c r="Q354" s="1" t="s">
        <v>35</v>
      </c>
      <c r="R354" s="1" t="s">
        <v>1052</v>
      </c>
      <c r="S354" s="1">
        <v>1</v>
      </c>
      <c r="T354" s="1">
        <v>0</v>
      </c>
      <c r="U354" s="1">
        <f t="shared" si="31"/>
        <v>1</v>
      </c>
      <c r="V354" s="1">
        <v>0</v>
      </c>
      <c r="W354" s="1">
        <f t="shared" si="30"/>
        <v>1</v>
      </c>
      <c r="X354" s="5">
        <f t="shared" si="28"/>
        <v>100</v>
      </c>
    </row>
    <row r="355" spans="1:24" ht="15" customHeight="1">
      <c r="A355" s="6">
        <v>46054</v>
      </c>
      <c r="B355" s="1" t="s">
        <v>18</v>
      </c>
      <c r="C355" s="1" t="s">
        <v>1041</v>
      </c>
      <c r="D355" s="1" t="s">
        <v>1053</v>
      </c>
      <c r="E355" s="1" t="s">
        <v>169</v>
      </c>
      <c r="F355" s="1" t="s">
        <v>1054</v>
      </c>
      <c r="G355" s="1" t="s">
        <v>1044</v>
      </c>
      <c r="H355" s="1" t="s">
        <v>24</v>
      </c>
      <c r="I355" s="2">
        <v>1</v>
      </c>
      <c r="J355" s="2">
        <v>6476582</v>
      </c>
      <c r="K355" s="2">
        <v>539915</v>
      </c>
      <c r="L355" s="2">
        <v>0</v>
      </c>
      <c r="M355" s="2">
        <v>0</v>
      </c>
      <c r="N355" s="2">
        <v>17130</v>
      </c>
      <c r="O355" s="2">
        <v>7033627</v>
      </c>
      <c r="P355" s="1" t="s">
        <v>1046</v>
      </c>
      <c r="Q355" s="1" t="s">
        <v>35</v>
      </c>
      <c r="R355" s="1" t="s">
        <v>1052</v>
      </c>
      <c r="S355" s="1">
        <v>1</v>
      </c>
      <c r="T355" s="1">
        <v>0</v>
      </c>
      <c r="U355" s="1">
        <f t="shared" si="31"/>
        <v>1</v>
      </c>
      <c r="V355" s="1">
        <v>0</v>
      </c>
      <c r="W355" s="1">
        <f t="shared" si="30"/>
        <v>1</v>
      </c>
      <c r="X355" s="5">
        <f t="shared" si="28"/>
        <v>100</v>
      </c>
    </row>
    <row r="356" spans="1:24" ht="15" customHeight="1">
      <c r="A356" s="6">
        <v>46054</v>
      </c>
      <c r="B356" s="1" t="s">
        <v>18</v>
      </c>
      <c r="C356" s="1" t="s">
        <v>1041</v>
      </c>
      <c r="D356" s="1" t="s">
        <v>1055</v>
      </c>
      <c r="E356" s="1" t="s">
        <v>1056</v>
      </c>
      <c r="F356" s="1" t="s">
        <v>1057</v>
      </c>
      <c r="G356" s="1" t="s">
        <v>1058</v>
      </c>
      <c r="H356" s="1" t="s">
        <v>24</v>
      </c>
      <c r="I356" s="2">
        <v>3</v>
      </c>
      <c r="J356" s="2">
        <v>5064616</v>
      </c>
      <c r="K356" s="2">
        <v>13679</v>
      </c>
      <c r="L356" s="2">
        <v>0</v>
      </c>
      <c r="M356" s="2">
        <v>0</v>
      </c>
      <c r="N356" s="2">
        <v>1320</v>
      </c>
      <c r="O356" s="2">
        <v>5079615</v>
      </c>
      <c r="P356" s="1" t="s">
        <v>1059</v>
      </c>
      <c r="Q356" s="1" t="s">
        <v>35</v>
      </c>
      <c r="R356" s="1" t="s">
        <v>735</v>
      </c>
      <c r="S356" s="1">
        <v>1</v>
      </c>
      <c r="T356" s="1">
        <v>0</v>
      </c>
      <c r="U356" s="1">
        <f t="shared" si="31"/>
        <v>1</v>
      </c>
      <c r="V356" s="1">
        <v>0</v>
      </c>
      <c r="W356" s="1">
        <f t="shared" si="30"/>
        <v>1</v>
      </c>
      <c r="X356" s="5">
        <f t="shared" si="28"/>
        <v>100</v>
      </c>
    </row>
    <row r="357" spans="1:24" ht="15" customHeight="1">
      <c r="A357" s="6">
        <v>46054</v>
      </c>
      <c r="B357" s="1" t="s">
        <v>18</v>
      </c>
      <c r="C357" s="1" t="s">
        <v>1041</v>
      </c>
      <c r="D357" s="1" t="s">
        <v>1060</v>
      </c>
      <c r="E357" s="1" t="s">
        <v>1056</v>
      </c>
      <c r="F357" s="1" t="s">
        <v>1061</v>
      </c>
      <c r="G357" s="1" t="s">
        <v>1062</v>
      </c>
      <c r="H357" s="1" t="s">
        <v>24</v>
      </c>
      <c r="I357" s="2">
        <v>3</v>
      </c>
      <c r="J357" s="2">
        <v>5663570</v>
      </c>
      <c r="K357" s="2">
        <v>17066</v>
      </c>
      <c r="L357" s="2">
        <v>0</v>
      </c>
      <c r="M357" s="2">
        <v>0</v>
      </c>
      <c r="N357" s="2">
        <v>994</v>
      </c>
      <c r="O357" s="2">
        <v>5681630</v>
      </c>
      <c r="P357" s="1" t="s">
        <v>1059</v>
      </c>
      <c r="Q357" s="1" t="s">
        <v>35</v>
      </c>
      <c r="R357" s="1" t="s">
        <v>153</v>
      </c>
      <c r="S357" s="1">
        <v>1</v>
      </c>
      <c r="T357" s="1">
        <v>0</v>
      </c>
      <c r="U357" s="1">
        <f t="shared" si="31"/>
        <v>1</v>
      </c>
      <c r="V357" s="1">
        <v>0</v>
      </c>
      <c r="W357" s="1">
        <f t="shared" si="30"/>
        <v>1</v>
      </c>
      <c r="X357" s="5">
        <f t="shared" si="28"/>
        <v>100</v>
      </c>
    </row>
    <row r="358" spans="1:24" ht="15" customHeight="1">
      <c r="A358" s="6">
        <v>46054</v>
      </c>
      <c r="B358" s="1" t="s">
        <v>18</v>
      </c>
      <c r="C358" s="1" t="s">
        <v>1041</v>
      </c>
      <c r="D358" s="1" t="s">
        <v>1063</v>
      </c>
      <c r="E358" s="1" t="s">
        <v>1064</v>
      </c>
      <c r="F358" s="1" t="s">
        <v>1057</v>
      </c>
      <c r="G358" s="1" t="s">
        <v>1065</v>
      </c>
      <c r="H358" s="1" t="s">
        <v>24</v>
      </c>
      <c r="I358" s="2">
        <v>3</v>
      </c>
      <c r="J358" s="2">
        <v>4929529</v>
      </c>
      <c r="K358" s="2">
        <v>11348</v>
      </c>
      <c r="L358" s="2">
        <v>0</v>
      </c>
      <c r="M358" s="2">
        <v>0</v>
      </c>
      <c r="N358" s="2">
        <v>640</v>
      </c>
      <c r="O358" s="2">
        <v>4941517</v>
      </c>
      <c r="P358" s="1" t="s">
        <v>1059</v>
      </c>
      <c r="Q358" s="1" t="s">
        <v>35</v>
      </c>
      <c r="R358" s="1" t="s">
        <v>735</v>
      </c>
      <c r="S358" s="1">
        <v>1</v>
      </c>
      <c r="T358" s="1">
        <v>0</v>
      </c>
      <c r="U358" s="1">
        <f t="shared" si="31"/>
        <v>1</v>
      </c>
      <c r="V358" s="1">
        <v>0</v>
      </c>
      <c r="W358" s="1">
        <f t="shared" si="30"/>
        <v>1</v>
      </c>
      <c r="X358" s="5">
        <f t="shared" si="28"/>
        <v>100</v>
      </c>
    </row>
    <row r="359" spans="1:24" ht="15" customHeight="1">
      <c r="A359" s="6">
        <v>46054</v>
      </c>
      <c r="B359" s="1" t="s">
        <v>18</v>
      </c>
      <c r="C359" s="1" t="s">
        <v>1041</v>
      </c>
      <c r="D359" s="1" t="s">
        <v>1066</v>
      </c>
      <c r="E359" s="1" t="s">
        <v>1067</v>
      </c>
      <c r="F359" s="1" t="s">
        <v>1068</v>
      </c>
      <c r="G359" s="1" t="s">
        <v>1044</v>
      </c>
      <c r="H359" s="1" t="s">
        <v>24</v>
      </c>
      <c r="I359" s="2">
        <v>7</v>
      </c>
      <c r="J359" s="2">
        <v>8741525</v>
      </c>
      <c r="K359" s="2">
        <v>43154</v>
      </c>
      <c r="L359" s="2">
        <v>0</v>
      </c>
      <c r="M359" s="2">
        <v>0</v>
      </c>
      <c r="N359" s="2">
        <v>2342</v>
      </c>
      <c r="O359" s="2">
        <v>8787021</v>
      </c>
      <c r="P359" s="1" t="s">
        <v>1046</v>
      </c>
      <c r="Q359" s="1" t="s">
        <v>35</v>
      </c>
      <c r="R359" s="1" t="s">
        <v>153</v>
      </c>
      <c r="S359" s="1">
        <v>0</v>
      </c>
      <c r="T359" s="1">
        <v>1</v>
      </c>
      <c r="U359" s="1">
        <f t="shared" si="31"/>
        <v>1</v>
      </c>
      <c r="V359" s="1">
        <v>0</v>
      </c>
      <c r="W359" s="1">
        <f t="shared" si="30"/>
        <v>1</v>
      </c>
      <c r="X359" s="5">
        <f t="shared" si="28"/>
        <v>0</v>
      </c>
    </row>
    <row r="360" spans="1:24" ht="15" customHeight="1">
      <c r="A360" s="6">
        <v>46054</v>
      </c>
      <c r="B360" s="1" t="s">
        <v>18</v>
      </c>
      <c r="C360" s="1" t="s">
        <v>1041</v>
      </c>
      <c r="D360" s="1" t="s">
        <v>1069</v>
      </c>
      <c r="E360" s="1" t="s">
        <v>1070</v>
      </c>
      <c r="F360" s="1" t="s">
        <v>1071</v>
      </c>
      <c r="G360" s="1" t="s">
        <v>1044</v>
      </c>
      <c r="H360" s="1" t="s">
        <v>24</v>
      </c>
      <c r="I360" s="2">
        <v>1</v>
      </c>
      <c r="J360" s="2">
        <v>5462040</v>
      </c>
      <c r="K360" s="2">
        <v>525577</v>
      </c>
      <c r="L360" s="2">
        <v>0</v>
      </c>
      <c r="M360" s="2">
        <v>0</v>
      </c>
      <c r="N360" s="2">
        <v>8614</v>
      </c>
      <c r="O360" s="2">
        <v>5996231</v>
      </c>
      <c r="P360" s="1" t="s">
        <v>1046</v>
      </c>
      <c r="Q360" s="1" t="s">
        <v>35</v>
      </c>
      <c r="R360" s="1" t="s">
        <v>153</v>
      </c>
      <c r="S360" s="1">
        <v>0</v>
      </c>
      <c r="T360" s="1">
        <v>1</v>
      </c>
      <c r="U360" s="1">
        <f t="shared" si="31"/>
        <v>1</v>
      </c>
      <c r="V360" s="1">
        <v>0</v>
      </c>
      <c r="W360" s="1">
        <f t="shared" si="30"/>
        <v>1</v>
      </c>
      <c r="X360" s="5">
        <f t="shared" si="28"/>
        <v>0</v>
      </c>
    </row>
    <row r="361" spans="1:24" ht="15" customHeight="1">
      <c r="A361" s="6">
        <v>46054</v>
      </c>
      <c r="B361" s="1" t="s">
        <v>18</v>
      </c>
      <c r="C361" s="1" t="s">
        <v>1041</v>
      </c>
      <c r="D361" s="1" t="s">
        <v>1072</v>
      </c>
      <c r="E361" s="1" t="s">
        <v>1073</v>
      </c>
      <c r="F361" s="1" t="s">
        <v>1074</v>
      </c>
      <c r="G361" s="1" t="s">
        <v>1075</v>
      </c>
      <c r="H361" s="1" t="s">
        <v>24</v>
      </c>
      <c r="I361" s="2">
        <v>1</v>
      </c>
      <c r="J361" s="2">
        <v>5599517</v>
      </c>
      <c r="K361" s="2">
        <v>153532</v>
      </c>
      <c r="L361" s="2">
        <v>0</v>
      </c>
      <c r="M361" s="2">
        <v>0</v>
      </c>
      <c r="N361" s="2">
        <v>3714</v>
      </c>
      <c r="O361" s="2">
        <v>5756763</v>
      </c>
      <c r="P361" s="1" t="s">
        <v>1046</v>
      </c>
      <c r="Q361" s="1" t="s">
        <v>35</v>
      </c>
      <c r="R361" s="1" t="s">
        <v>1076</v>
      </c>
      <c r="S361" s="1">
        <v>0</v>
      </c>
      <c r="T361" s="1">
        <v>1</v>
      </c>
      <c r="U361" s="1">
        <f t="shared" si="31"/>
        <v>1</v>
      </c>
      <c r="V361" s="1">
        <v>0</v>
      </c>
      <c r="W361" s="1">
        <f t="shared" si="30"/>
        <v>1</v>
      </c>
      <c r="X361" s="5">
        <f t="shared" si="28"/>
        <v>0</v>
      </c>
    </row>
    <row r="362" spans="1:24" ht="15" customHeight="1">
      <c r="A362" s="6">
        <v>46054</v>
      </c>
      <c r="B362" s="1" t="s">
        <v>18</v>
      </c>
      <c r="C362" s="1" t="s">
        <v>1041</v>
      </c>
      <c r="D362" s="1" t="s">
        <v>1077</v>
      </c>
      <c r="E362" s="1" t="s">
        <v>1078</v>
      </c>
      <c r="F362" s="1" t="s">
        <v>1079</v>
      </c>
      <c r="G362" s="1" t="s">
        <v>1044</v>
      </c>
      <c r="H362" s="1" t="s">
        <v>24</v>
      </c>
      <c r="I362" s="2">
        <v>1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1" t="s">
        <v>1046</v>
      </c>
      <c r="Q362" s="1" t="s">
        <v>26</v>
      </c>
      <c r="R362" s="1" t="s">
        <v>153</v>
      </c>
      <c r="S362" s="1">
        <v>0</v>
      </c>
      <c r="T362" s="1">
        <v>0</v>
      </c>
      <c r="U362" s="1">
        <f t="shared" si="31"/>
        <v>0</v>
      </c>
      <c r="V362" s="1">
        <v>1</v>
      </c>
      <c r="W362" s="1">
        <f t="shared" si="30"/>
        <v>1</v>
      </c>
      <c r="X362" s="5" t="e">
        <f t="shared" si="28"/>
        <v>#DIV/0!</v>
      </c>
    </row>
    <row r="363" spans="1:24" ht="15" customHeight="1">
      <c r="A363" s="6">
        <v>46054</v>
      </c>
      <c r="B363" s="1" t="s">
        <v>18</v>
      </c>
      <c r="C363" s="1" t="s">
        <v>1041</v>
      </c>
      <c r="D363" s="1" t="s">
        <v>1080</v>
      </c>
      <c r="E363" s="1" t="s">
        <v>1081</v>
      </c>
      <c r="F363" s="1" t="s">
        <v>979</v>
      </c>
      <c r="G363" s="1" t="s">
        <v>1082</v>
      </c>
      <c r="H363" s="1" t="s">
        <v>24</v>
      </c>
      <c r="I363" s="2">
        <v>1</v>
      </c>
      <c r="J363" s="2">
        <v>1911451</v>
      </c>
      <c r="K363" s="2">
        <v>7016</v>
      </c>
      <c r="L363" s="2">
        <v>0</v>
      </c>
      <c r="M363" s="2">
        <v>0</v>
      </c>
      <c r="N363" s="2">
        <v>1432</v>
      </c>
      <c r="O363" s="2">
        <v>1919899</v>
      </c>
      <c r="P363" s="1" t="s">
        <v>1033</v>
      </c>
      <c r="Q363" s="1" t="s">
        <v>35</v>
      </c>
      <c r="R363" s="1" t="s">
        <v>153</v>
      </c>
      <c r="S363" s="1">
        <v>0</v>
      </c>
      <c r="T363" s="1">
        <v>1</v>
      </c>
      <c r="U363" s="1">
        <f t="shared" si="31"/>
        <v>1</v>
      </c>
      <c r="V363" s="1">
        <v>0</v>
      </c>
      <c r="W363" s="1">
        <f t="shared" si="30"/>
        <v>1</v>
      </c>
      <c r="X363" s="5">
        <f t="shared" si="28"/>
        <v>0</v>
      </c>
    </row>
    <row r="364" spans="1:24" ht="15" customHeight="1">
      <c r="A364" s="6">
        <v>46054</v>
      </c>
      <c r="B364" s="1" t="s">
        <v>18</v>
      </c>
      <c r="C364" s="1" t="s">
        <v>1041</v>
      </c>
      <c r="D364" s="1" t="s">
        <v>1083</v>
      </c>
      <c r="E364" s="1" t="s">
        <v>1084</v>
      </c>
      <c r="F364" s="1" t="s">
        <v>1085</v>
      </c>
      <c r="G364" s="1" t="s">
        <v>1086</v>
      </c>
      <c r="H364" s="1" t="s">
        <v>24</v>
      </c>
      <c r="I364" s="2">
        <v>1</v>
      </c>
      <c r="J364" s="2">
        <v>-1230</v>
      </c>
      <c r="K364" s="2">
        <v>0</v>
      </c>
      <c r="L364" s="2">
        <v>0</v>
      </c>
      <c r="M364" s="2">
        <v>0</v>
      </c>
      <c r="N364" s="2">
        <v>0</v>
      </c>
      <c r="O364" s="2">
        <v>-1230</v>
      </c>
      <c r="P364" s="1" t="s">
        <v>1033</v>
      </c>
      <c r="Q364" s="1" t="s">
        <v>26</v>
      </c>
      <c r="R364" s="1" t="s">
        <v>1087</v>
      </c>
      <c r="S364" s="1">
        <v>0</v>
      </c>
      <c r="T364" s="1">
        <v>0</v>
      </c>
      <c r="U364" s="1">
        <f t="shared" si="31"/>
        <v>0</v>
      </c>
      <c r="V364" s="1">
        <v>1</v>
      </c>
      <c r="W364" s="1">
        <f t="shared" si="30"/>
        <v>1</v>
      </c>
      <c r="X364" s="5" t="e">
        <f t="shared" si="28"/>
        <v>#DIV/0!</v>
      </c>
    </row>
    <row r="365" spans="1:24" ht="15" customHeight="1">
      <c r="A365" s="6">
        <v>46054</v>
      </c>
      <c r="B365" s="1" t="s">
        <v>18</v>
      </c>
      <c r="C365" s="1" t="s">
        <v>1041</v>
      </c>
      <c r="D365" s="1" t="s">
        <v>1088</v>
      </c>
      <c r="E365" s="1" t="s">
        <v>1089</v>
      </c>
      <c r="F365" s="1" t="s">
        <v>1090</v>
      </c>
      <c r="G365" s="1"/>
      <c r="H365" s="1" t="s">
        <v>24</v>
      </c>
      <c r="I365" s="2">
        <v>1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1" t="s">
        <v>1033</v>
      </c>
      <c r="Q365" s="1" t="s">
        <v>26</v>
      </c>
      <c r="R365" s="1" t="s">
        <v>1087</v>
      </c>
      <c r="S365" s="1">
        <v>0</v>
      </c>
      <c r="T365" s="1">
        <v>0</v>
      </c>
      <c r="U365" s="1">
        <f t="shared" si="31"/>
        <v>0</v>
      </c>
      <c r="V365" s="1">
        <v>1</v>
      </c>
      <c r="W365" s="1">
        <f t="shared" si="30"/>
        <v>1</v>
      </c>
      <c r="X365" s="5" t="e">
        <f t="shared" si="28"/>
        <v>#DIV/0!</v>
      </c>
    </row>
    <row r="366" spans="1:24" ht="15" customHeight="1">
      <c r="A366" s="6">
        <v>46054</v>
      </c>
      <c r="B366" s="1" t="s">
        <v>49</v>
      </c>
      <c r="C366" s="1" t="s">
        <v>1041</v>
      </c>
      <c r="D366" s="1" t="s">
        <v>1091</v>
      </c>
      <c r="E366" s="1" t="s">
        <v>1092</v>
      </c>
      <c r="F366" s="1" t="s">
        <v>1093</v>
      </c>
      <c r="G366" s="1"/>
      <c r="H366" s="1" t="s">
        <v>54</v>
      </c>
      <c r="I366" s="2">
        <v>20</v>
      </c>
      <c r="J366" s="2">
        <v>168377</v>
      </c>
      <c r="K366" s="2">
        <v>0</v>
      </c>
      <c r="L366" s="2">
        <v>0</v>
      </c>
      <c r="M366" s="2">
        <v>0</v>
      </c>
      <c r="N366" s="2">
        <v>0</v>
      </c>
      <c r="O366" s="2">
        <v>168377</v>
      </c>
      <c r="P366" s="1" t="s">
        <v>1046</v>
      </c>
      <c r="Q366" s="1" t="s">
        <v>26</v>
      </c>
      <c r="R366" s="1" t="s">
        <v>1094</v>
      </c>
      <c r="S366" s="1">
        <v>0</v>
      </c>
      <c r="T366" s="1">
        <v>0</v>
      </c>
      <c r="U366" s="1">
        <f t="shared" si="31"/>
        <v>0</v>
      </c>
      <c r="V366" s="1">
        <v>1</v>
      </c>
      <c r="W366" s="1">
        <f t="shared" si="30"/>
        <v>1</v>
      </c>
      <c r="X366" s="5" t="e">
        <f t="shared" si="28"/>
        <v>#DIV/0!</v>
      </c>
    </row>
    <row r="367" spans="1:24" ht="15" customHeight="1">
      <c r="A367" s="6">
        <v>46054</v>
      </c>
      <c r="B367" s="1" t="s">
        <v>18</v>
      </c>
      <c r="C367" s="1" t="s">
        <v>1095</v>
      </c>
      <c r="D367" s="1" t="s">
        <v>1096</v>
      </c>
      <c r="E367" s="1" t="s">
        <v>1097</v>
      </c>
      <c r="F367" s="1" t="s">
        <v>1098</v>
      </c>
      <c r="G367" s="1"/>
      <c r="H367" s="1" t="s">
        <v>24</v>
      </c>
      <c r="I367" s="2">
        <v>10</v>
      </c>
      <c r="J367" s="2">
        <v>24268708</v>
      </c>
      <c r="K367" s="2">
        <v>1476</v>
      </c>
      <c r="L367" s="2">
        <v>0</v>
      </c>
      <c r="M367" s="2">
        <v>0</v>
      </c>
      <c r="N367" s="2">
        <v>100</v>
      </c>
      <c r="O367" s="2">
        <v>24270284</v>
      </c>
      <c r="P367" s="1" t="s">
        <v>1059</v>
      </c>
      <c r="Q367" s="1" t="s">
        <v>35</v>
      </c>
      <c r="R367" s="1" t="s">
        <v>1052</v>
      </c>
      <c r="S367" s="1">
        <v>0</v>
      </c>
      <c r="T367" s="1">
        <v>1</v>
      </c>
      <c r="U367" s="1">
        <f t="shared" si="31"/>
        <v>1</v>
      </c>
      <c r="V367" s="1">
        <v>0</v>
      </c>
      <c r="W367" s="1">
        <f t="shared" si="30"/>
        <v>1</v>
      </c>
      <c r="X367" s="5">
        <f t="shared" si="28"/>
        <v>0</v>
      </c>
    </row>
    <row r="368" spans="1:24" ht="15" customHeight="1">
      <c r="A368" s="6">
        <v>46054</v>
      </c>
      <c r="B368" s="1" t="s">
        <v>18</v>
      </c>
      <c r="C368" s="1" t="s">
        <v>1095</v>
      </c>
      <c r="D368" s="1" t="s">
        <v>1099</v>
      </c>
      <c r="E368" s="1" t="s">
        <v>1100</v>
      </c>
      <c r="F368" s="1" t="s">
        <v>1101</v>
      </c>
      <c r="G368" s="1" t="s">
        <v>961</v>
      </c>
      <c r="H368" s="1" t="s">
        <v>24</v>
      </c>
      <c r="I368" s="2">
        <v>1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1" t="s">
        <v>1059</v>
      </c>
      <c r="Q368" s="1" t="s">
        <v>26</v>
      </c>
      <c r="R368" s="1" t="s">
        <v>1102</v>
      </c>
      <c r="S368" s="1">
        <v>0</v>
      </c>
      <c r="T368" s="1">
        <v>0</v>
      </c>
      <c r="U368" s="1">
        <f t="shared" si="31"/>
        <v>0</v>
      </c>
      <c r="V368" s="1">
        <v>1</v>
      </c>
      <c r="W368" s="1">
        <f t="shared" si="30"/>
        <v>1</v>
      </c>
      <c r="X368" s="5" t="e">
        <f t="shared" si="28"/>
        <v>#DIV/0!</v>
      </c>
    </row>
    <row r="369" spans="1:24" ht="15" customHeight="1">
      <c r="A369" s="6">
        <v>46054</v>
      </c>
      <c r="B369" s="1" t="s">
        <v>18</v>
      </c>
      <c r="C369" s="1" t="s">
        <v>1095</v>
      </c>
      <c r="D369" s="1" t="s">
        <v>1103</v>
      </c>
      <c r="E369" s="1" t="s">
        <v>1104</v>
      </c>
      <c r="F369" s="1" t="s">
        <v>1105</v>
      </c>
      <c r="G369" s="1"/>
      <c r="H369" s="1" t="s">
        <v>24</v>
      </c>
      <c r="I369" s="2">
        <v>1</v>
      </c>
      <c r="J369" s="2">
        <v>-2272</v>
      </c>
      <c r="K369" s="2">
        <v>0</v>
      </c>
      <c r="L369" s="2">
        <v>0</v>
      </c>
      <c r="M369" s="2">
        <v>0</v>
      </c>
      <c r="N369" s="2">
        <v>0</v>
      </c>
      <c r="O369" s="2">
        <v>-2272</v>
      </c>
      <c r="P369" s="1" t="s">
        <v>1059</v>
      </c>
      <c r="Q369" s="1" t="s">
        <v>26</v>
      </c>
      <c r="R369" s="1" t="s">
        <v>732</v>
      </c>
      <c r="S369" s="1">
        <v>0</v>
      </c>
      <c r="T369" s="1">
        <v>0</v>
      </c>
      <c r="U369" s="1">
        <f t="shared" si="31"/>
        <v>0</v>
      </c>
      <c r="V369" s="1">
        <v>1</v>
      </c>
      <c r="W369" s="1">
        <f t="shared" si="30"/>
        <v>1</v>
      </c>
      <c r="X369" s="5" t="e">
        <f t="shared" si="28"/>
        <v>#DIV/0!</v>
      </c>
    </row>
    <row r="370" spans="1:24" ht="15" customHeight="1">
      <c r="A370" s="6">
        <v>46054</v>
      </c>
      <c r="B370" s="1" t="s">
        <v>61</v>
      </c>
      <c r="C370" s="1" t="s">
        <v>1095</v>
      </c>
      <c r="D370" s="1" t="s">
        <v>1106</v>
      </c>
      <c r="E370" s="1" t="s">
        <v>1092</v>
      </c>
      <c r="F370" s="1" t="s">
        <v>1107</v>
      </c>
      <c r="G370" s="1" t="s">
        <v>1108</v>
      </c>
      <c r="H370" s="1" t="s">
        <v>54</v>
      </c>
      <c r="I370" s="2">
        <v>15</v>
      </c>
      <c r="J370" s="2">
        <v>105666276</v>
      </c>
      <c r="K370" s="2">
        <v>1552320</v>
      </c>
      <c r="L370" s="2">
        <v>0</v>
      </c>
      <c r="M370" s="2">
        <v>0</v>
      </c>
      <c r="N370" s="2">
        <v>64361</v>
      </c>
      <c r="O370" s="2">
        <v>107282957</v>
      </c>
      <c r="P370" s="1" t="s">
        <v>1059</v>
      </c>
      <c r="Q370" s="1" t="s">
        <v>35</v>
      </c>
      <c r="R370" s="1" t="s">
        <v>1109</v>
      </c>
      <c r="S370" s="1">
        <v>0</v>
      </c>
      <c r="T370" s="1">
        <v>1</v>
      </c>
      <c r="U370" s="1">
        <f t="shared" si="31"/>
        <v>1</v>
      </c>
      <c r="V370" s="1">
        <v>0</v>
      </c>
      <c r="W370" s="1">
        <f t="shared" si="30"/>
        <v>1</v>
      </c>
      <c r="X370" s="5">
        <f t="shared" si="28"/>
        <v>0</v>
      </c>
    </row>
    <row r="371" spans="1:24" ht="15" customHeight="1">
      <c r="A371" s="6">
        <v>46054</v>
      </c>
      <c r="B371" s="1" t="s">
        <v>18</v>
      </c>
      <c r="C371" s="1" t="s">
        <v>1110</v>
      </c>
      <c r="D371" s="1" t="s">
        <v>1111</v>
      </c>
      <c r="E371" s="1" t="s">
        <v>1112</v>
      </c>
      <c r="F371" s="1" t="s">
        <v>1113</v>
      </c>
      <c r="G371" s="1" t="s">
        <v>1114</v>
      </c>
      <c r="H371" s="1" t="s">
        <v>24</v>
      </c>
      <c r="I371" s="2">
        <v>5</v>
      </c>
      <c r="J371" s="2">
        <v>17503868</v>
      </c>
      <c r="K371" s="2">
        <v>200154</v>
      </c>
      <c r="L371" s="2">
        <v>0</v>
      </c>
      <c r="M371" s="2">
        <v>0</v>
      </c>
      <c r="N371" s="2">
        <v>16906</v>
      </c>
      <c r="O371" s="2">
        <v>17720928</v>
      </c>
      <c r="P371" s="1" t="s">
        <v>1059</v>
      </c>
      <c r="Q371" s="1" t="s">
        <v>35</v>
      </c>
      <c r="R371" s="1" t="s">
        <v>732</v>
      </c>
      <c r="S371" s="1">
        <v>1</v>
      </c>
      <c r="T371" s="1">
        <v>0</v>
      </c>
      <c r="U371" s="1">
        <f t="shared" si="31"/>
        <v>1</v>
      </c>
      <c r="V371" s="1">
        <v>0</v>
      </c>
      <c r="W371" s="1">
        <f t="shared" si="30"/>
        <v>1</v>
      </c>
      <c r="X371" s="5">
        <f t="shared" si="28"/>
        <v>100</v>
      </c>
    </row>
    <row r="372" spans="1:24" ht="15" customHeight="1">
      <c r="A372" s="6">
        <v>46054</v>
      </c>
      <c r="B372" s="1" t="s">
        <v>18</v>
      </c>
      <c r="C372" s="1" t="s">
        <v>1110</v>
      </c>
      <c r="D372" s="1" t="s">
        <v>1115</v>
      </c>
      <c r="E372" s="1" t="s">
        <v>582</v>
      </c>
      <c r="F372" s="1" t="s">
        <v>1116</v>
      </c>
      <c r="G372" s="1"/>
      <c r="H372" s="1" t="s">
        <v>24</v>
      </c>
      <c r="I372" s="2">
        <v>5</v>
      </c>
      <c r="J372" s="2">
        <v>16751958</v>
      </c>
      <c r="K372" s="2">
        <v>203481</v>
      </c>
      <c r="L372" s="2">
        <v>0</v>
      </c>
      <c r="M372" s="2">
        <v>0</v>
      </c>
      <c r="N372" s="2">
        <v>16906</v>
      </c>
      <c r="O372" s="2">
        <v>16972345</v>
      </c>
      <c r="P372" s="1" t="s">
        <v>1033</v>
      </c>
      <c r="Q372" s="1" t="s">
        <v>35</v>
      </c>
      <c r="R372" s="1" t="s">
        <v>732</v>
      </c>
      <c r="S372" s="1">
        <v>1</v>
      </c>
      <c r="T372" s="1">
        <v>0</v>
      </c>
      <c r="U372" s="1">
        <f t="shared" si="31"/>
        <v>1</v>
      </c>
      <c r="V372" s="1">
        <v>0</v>
      </c>
      <c r="W372" s="1">
        <f t="shared" si="30"/>
        <v>1</v>
      </c>
      <c r="X372" s="5">
        <f t="shared" si="28"/>
        <v>100</v>
      </c>
    </row>
    <row r="373" spans="1:24" ht="15" customHeight="1">
      <c r="A373" s="6">
        <v>46054</v>
      </c>
      <c r="B373" s="1" t="s">
        <v>18</v>
      </c>
      <c r="C373" s="1" t="s">
        <v>1110</v>
      </c>
      <c r="D373" s="1" t="s">
        <v>1117</v>
      </c>
      <c r="E373" s="1" t="s">
        <v>1112</v>
      </c>
      <c r="F373" s="1" t="s">
        <v>1118</v>
      </c>
      <c r="G373" s="1" t="s">
        <v>1114</v>
      </c>
      <c r="H373" s="1" t="s">
        <v>24</v>
      </c>
      <c r="I373" s="2">
        <v>22</v>
      </c>
      <c r="J373" s="2">
        <v>52928485</v>
      </c>
      <c r="K373" s="2">
        <v>879055</v>
      </c>
      <c r="L373" s="2">
        <v>0</v>
      </c>
      <c r="M373" s="2">
        <v>0</v>
      </c>
      <c r="N373" s="2">
        <v>74040</v>
      </c>
      <c r="O373" s="2">
        <v>53881580</v>
      </c>
      <c r="P373" s="1" t="s">
        <v>1059</v>
      </c>
      <c r="Q373" s="1" t="s">
        <v>35</v>
      </c>
      <c r="R373" s="1" t="s">
        <v>27</v>
      </c>
      <c r="S373" s="1">
        <v>1</v>
      </c>
      <c r="T373" s="1">
        <v>0</v>
      </c>
      <c r="U373" s="1">
        <f t="shared" si="31"/>
        <v>1</v>
      </c>
      <c r="V373" s="1">
        <v>0</v>
      </c>
      <c r="W373" s="1">
        <f t="shared" si="30"/>
        <v>1</v>
      </c>
      <c r="X373" s="5">
        <f t="shared" si="28"/>
        <v>100</v>
      </c>
    </row>
    <row r="374" spans="1:24" ht="15" customHeight="1">
      <c r="A374" s="6">
        <v>46054</v>
      </c>
      <c r="B374" s="1" t="s">
        <v>18</v>
      </c>
      <c r="C374" s="1" t="s">
        <v>1110</v>
      </c>
      <c r="D374" s="1" t="s">
        <v>1119</v>
      </c>
      <c r="E374" s="1" t="s">
        <v>1120</v>
      </c>
      <c r="F374" s="1" t="s">
        <v>1121</v>
      </c>
      <c r="G374" s="1" t="s">
        <v>1114</v>
      </c>
      <c r="H374" s="1" t="s">
        <v>24</v>
      </c>
      <c r="I374" s="2">
        <v>1</v>
      </c>
      <c r="J374" s="2">
        <v>2833</v>
      </c>
      <c r="K374" s="2">
        <v>0</v>
      </c>
      <c r="L374" s="2">
        <v>0</v>
      </c>
      <c r="M374" s="2">
        <v>0</v>
      </c>
      <c r="N374" s="2">
        <v>0</v>
      </c>
      <c r="O374" s="2">
        <v>2833</v>
      </c>
      <c r="P374" s="1" t="s">
        <v>1059</v>
      </c>
      <c r="Q374" s="1" t="s">
        <v>26</v>
      </c>
      <c r="R374" s="1" t="s">
        <v>732</v>
      </c>
      <c r="S374" s="1">
        <v>0</v>
      </c>
      <c r="T374" s="1">
        <v>0</v>
      </c>
      <c r="U374" s="1">
        <f t="shared" si="31"/>
        <v>0</v>
      </c>
      <c r="V374" s="1">
        <v>1</v>
      </c>
      <c r="W374" s="1">
        <f t="shared" si="30"/>
        <v>1</v>
      </c>
      <c r="X374" s="5" t="e">
        <f t="shared" si="28"/>
        <v>#DIV/0!</v>
      </c>
    </row>
    <row r="375" spans="1:24" ht="15" customHeight="1">
      <c r="A375" s="6">
        <v>46054</v>
      </c>
      <c r="B375" s="1" t="s">
        <v>61</v>
      </c>
      <c r="C375" s="1" t="s">
        <v>1110</v>
      </c>
      <c r="D375" s="1" t="s">
        <v>1122</v>
      </c>
      <c r="E375" s="1" t="s">
        <v>1123</v>
      </c>
      <c r="F375" s="1" t="s">
        <v>1124</v>
      </c>
      <c r="G375" s="1" t="s">
        <v>1125</v>
      </c>
      <c r="H375" s="1" t="s">
        <v>54</v>
      </c>
      <c r="I375" s="2">
        <v>5</v>
      </c>
      <c r="J375" s="2">
        <v>33550157</v>
      </c>
      <c r="K375" s="2">
        <v>4328</v>
      </c>
      <c r="L375" s="2">
        <v>0</v>
      </c>
      <c r="M375" s="2">
        <v>0</v>
      </c>
      <c r="N375" s="2">
        <v>184</v>
      </c>
      <c r="O375" s="2">
        <v>33554669</v>
      </c>
      <c r="P375" s="1" t="s">
        <v>1059</v>
      </c>
      <c r="Q375" s="1" t="s">
        <v>35</v>
      </c>
      <c r="R375" s="1" t="s">
        <v>1126</v>
      </c>
      <c r="S375" s="1">
        <v>0</v>
      </c>
      <c r="T375" s="1">
        <v>1</v>
      </c>
      <c r="U375" s="1">
        <f t="shared" si="31"/>
        <v>1</v>
      </c>
      <c r="V375" s="1">
        <v>0</v>
      </c>
      <c r="W375" s="1">
        <f t="shared" si="30"/>
        <v>1</v>
      </c>
      <c r="X375" s="5">
        <f t="shared" si="28"/>
        <v>0</v>
      </c>
    </row>
    <row r="376" spans="1:24">
      <c r="A376" s="6">
        <v>46054</v>
      </c>
      <c r="B376" s="1" t="s">
        <v>18</v>
      </c>
      <c r="C376" s="1" t="s">
        <v>1127</v>
      </c>
      <c r="D376" s="1" t="s">
        <v>1128</v>
      </c>
      <c r="E376" s="1" t="s">
        <v>1129</v>
      </c>
      <c r="F376" s="1" t="s">
        <v>1130</v>
      </c>
      <c r="G376" s="1"/>
      <c r="H376" s="1" t="s">
        <v>24</v>
      </c>
      <c r="I376" s="2">
        <v>1</v>
      </c>
      <c r="J376" s="2">
        <v>641160</v>
      </c>
      <c r="K376" s="2">
        <v>20412</v>
      </c>
      <c r="L376" s="2">
        <v>0</v>
      </c>
      <c r="M376" s="2">
        <v>0</v>
      </c>
      <c r="N376" s="2">
        <v>2618</v>
      </c>
      <c r="O376" s="2">
        <v>664190</v>
      </c>
      <c r="P376" s="1" t="s">
        <v>1131</v>
      </c>
      <c r="Q376" s="1" t="s">
        <v>35</v>
      </c>
      <c r="R376" s="1" t="s">
        <v>732</v>
      </c>
      <c r="S376" s="1">
        <v>0</v>
      </c>
      <c r="T376" s="1">
        <v>1</v>
      </c>
      <c r="U376" s="1">
        <f t="shared" si="31"/>
        <v>1</v>
      </c>
      <c r="V376" s="1">
        <v>0</v>
      </c>
      <c r="W376" s="1">
        <f t="shared" si="30"/>
        <v>1</v>
      </c>
      <c r="X376" s="5">
        <f t="shared" si="28"/>
        <v>0</v>
      </c>
    </row>
    <row r="377" spans="1:24" ht="15" customHeight="1">
      <c r="A377" s="6">
        <v>46054</v>
      </c>
      <c r="B377" s="1" t="s">
        <v>18</v>
      </c>
      <c r="C377" s="1" t="s">
        <v>1127</v>
      </c>
      <c r="D377" s="1" t="s">
        <v>1132</v>
      </c>
      <c r="E377" s="1" t="s">
        <v>1133</v>
      </c>
      <c r="F377" s="1" t="s">
        <v>1134</v>
      </c>
      <c r="G377" s="1" t="s">
        <v>1135</v>
      </c>
      <c r="H377" s="1" t="s">
        <v>24</v>
      </c>
      <c r="I377" s="2">
        <v>2.85</v>
      </c>
      <c r="J377" s="2">
        <v>408578</v>
      </c>
      <c r="K377" s="2">
        <v>1777</v>
      </c>
      <c r="L377" s="2">
        <v>0</v>
      </c>
      <c r="M377" s="2">
        <v>0</v>
      </c>
      <c r="N377" s="2">
        <v>464</v>
      </c>
      <c r="O377" s="2">
        <v>410819</v>
      </c>
      <c r="P377" s="1" t="s">
        <v>1131</v>
      </c>
      <c r="Q377" s="1" t="s">
        <v>35</v>
      </c>
      <c r="R377" s="1" t="s">
        <v>153</v>
      </c>
      <c r="S377" s="1">
        <v>0</v>
      </c>
      <c r="T377" s="1">
        <v>1</v>
      </c>
      <c r="U377" s="1">
        <f t="shared" si="31"/>
        <v>1</v>
      </c>
      <c r="V377" s="1">
        <v>0</v>
      </c>
      <c r="W377" s="1">
        <f t="shared" si="30"/>
        <v>1</v>
      </c>
      <c r="X377" s="5">
        <f t="shared" si="28"/>
        <v>0</v>
      </c>
    </row>
    <row r="378" spans="1:24" ht="15" customHeight="1">
      <c r="A378" s="6">
        <v>46054</v>
      </c>
      <c r="B378" s="1" t="s">
        <v>49</v>
      </c>
      <c r="C378" s="1" t="s">
        <v>1127</v>
      </c>
      <c r="D378" s="1" t="s">
        <v>1136</v>
      </c>
      <c r="E378" s="1" t="s">
        <v>169</v>
      </c>
      <c r="F378" s="1" t="s">
        <v>1137</v>
      </c>
      <c r="G378" s="1" t="s">
        <v>1135</v>
      </c>
      <c r="H378" s="1" t="s">
        <v>54</v>
      </c>
      <c r="I378" s="2">
        <v>4.5599999999999996</v>
      </c>
      <c r="J378" s="2">
        <v>637542</v>
      </c>
      <c r="K378" s="2">
        <v>44377</v>
      </c>
      <c r="L378" s="2">
        <v>0</v>
      </c>
      <c r="M378" s="2">
        <v>0</v>
      </c>
      <c r="N378" s="2">
        <v>4112</v>
      </c>
      <c r="O378" s="2">
        <v>686031</v>
      </c>
      <c r="P378" s="1" t="s">
        <v>1131</v>
      </c>
      <c r="Q378" s="1" t="s">
        <v>35</v>
      </c>
      <c r="R378" s="1" t="s">
        <v>732</v>
      </c>
      <c r="S378" s="1">
        <v>0</v>
      </c>
      <c r="T378" s="1">
        <v>1</v>
      </c>
      <c r="U378" s="1">
        <f t="shared" si="31"/>
        <v>1</v>
      </c>
      <c r="V378" s="1">
        <v>0</v>
      </c>
      <c r="W378" s="1">
        <f t="shared" si="30"/>
        <v>1</v>
      </c>
      <c r="X378" s="5">
        <f t="shared" si="28"/>
        <v>0</v>
      </c>
    </row>
    <row r="379" spans="1:24" ht="15" customHeight="1">
      <c r="A379" s="6">
        <v>46054</v>
      </c>
      <c r="B379" s="1" t="s">
        <v>49</v>
      </c>
      <c r="C379" s="1" t="s">
        <v>1127</v>
      </c>
      <c r="D379" s="1" t="s">
        <v>1153</v>
      </c>
      <c r="E379" s="1" t="s">
        <v>169</v>
      </c>
      <c r="F379" s="1" t="s">
        <v>1154</v>
      </c>
      <c r="G379" s="1" t="s">
        <v>1155</v>
      </c>
      <c r="H379" s="1" t="s">
        <v>54</v>
      </c>
      <c r="I379" s="2">
        <v>5.25</v>
      </c>
      <c r="J379" s="2">
        <v>601505</v>
      </c>
      <c r="K379" s="2">
        <v>44333</v>
      </c>
      <c r="L379" s="2">
        <v>0</v>
      </c>
      <c r="M379" s="2">
        <v>0</v>
      </c>
      <c r="N379" s="2">
        <v>5679</v>
      </c>
      <c r="O379" s="2">
        <v>651517</v>
      </c>
      <c r="P379" s="1" t="s">
        <v>1131</v>
      </c>
      <c r="Q379" s="1" t="s">
        <v>35</v>
      </c>
      <c r="R379" s="1" t="s">
        <v>732</v>
      </c>
      <c r="S379" s="1">
        <v>0</v>
      </c>
      <c r="T379" s="1">
        <v>1</v>
      </c>
      <c r="U379" s="1">
        <f t="shared" si="31"/>
        <v>1</v>
      </c>
      <c r="V379" s="1">
        <v>0</v>
      </c>
      <c r="W379" s="1">
        <f t="shared" si="30"/>
        <v>1</v>
      </c>
      <c r="X379" s="5">
        <f t="shared" si="28"/>
        <v>0</v>
      </c>
    </row>
    <row r="380" spans="1:24" ht="15" customHeight="1">
      <c r="A380" s="6">
        <v>46054</v>
      </c>
      <c r="B380" s="1" t="s">
        <v>61</v>
      </c>
      <c r="C380" s="1" t="s">
        <v>1127</v>
      </c>
      <c r="D380" s="1" t="s">
        <v>1138</v>
      </c>
      <c r="E380" s="1" t="s">
        <v>169</v>
      </c>
      <c r="F380" s="1" t="s">
        <v>1139</v>
      </c>
      <c r="G380" s="1" t="s">
        <v>1135</v>
      </c>
      <c r="H380" s="1" t="s">
        <v>54</v>
      </c>
      <c r="I380" s="2">
        <v>5.25</v>
      </c>
      <c r="J380" s="2">
        <v>563266</v>
      </c>
      <c r="K380" s="2">
        <v>44938</v>
      </c>
      <c r="L380" s="2">
        <v>0</v>
      </c>
      <c r="M380" s="2">
        <v>0</v>
      </c>
      <c r="N380" s="2">
        <v>1892</v>
      </c>
      <c r="O380" s="2">
        <v>610096</v>
      </c>
      <c r="P380" s="1" t="s">
        <v>1131</v>
      </c>
      <c r="Q380" s="1" t="s">
        <v>35</v>
      </c>
      <c r="R380" s="1" t="s">
        <v>732</v>
      </c>
      <c r="S380" s="1">
        <v>0</v>
      </c>
      <c r="T380" s="1">
        <v>1</v>
      </c>
      <c r="U380" s="1">
        <f t="shared" si="31"/>
        <v>1</v>
      </c>
      <c r="V380" s="1">
        <v>0</v>
      </c>
      <c r="W380" s="1">
        <f t="shared" si="30"/>
        <v>1</v>
      </c>
      <c r="X380" s="5">
        <f t="shared" si="28"/>
        <v>0</v>
      </c>
    </row>
    <row r="381" spans="1:24" ht="15" customHeight="1">
      <c r="A381" s="6">
        <v>46054</v>
      </c>
      <c r="B381" s="1" t="s">
        <v>61</v>
      </c>
      <c r="C381" s="1" t="s">
        <v>1127</v>
      </c>
      <c r="D381" s="1" t="s">
        <v>1140</v>
      </c>
      <c r="E381" s="1" t="s">
        <v>169</v>
      </c>
      <c r="F381" s="1" t="s">
        <v>1141</v>
      </c>
      <c r="G381" s="1" t="s">
        <v>1135</v>
      </c>
      <c r="H381" s="1" t="s">
        <v>54</v>
      </c>
      <c r="I381" s="2">
        <v>5.52</v>
      </c>
      <c r="J381" s="2">
        <v>664811</v>
      </c>
      <c r="K381" s="2">
        <v>46103</v>
      </c>
      <c r="L381" s="2">
        <v>0</v>
      </c>
      <c r="M381" s="2">
        <v>0</v>
      </c>
      <c r="N381" s="2">
        <v>1942</v>
      </c>
      <c r="O381" s="2">
        <v>712856</v>
      </c>
      <c r="P381" s="1" t="s">
        <v>1131</v>
      </c>
      <c r="Q381" s="1" t="s">
        <v>35</v>
      </c>
      <c r="R381" s="1" t="s">
        <v>732</v>
      </c>
      <c r="S381" s="1">
        <v>0</v>
      </c>
      <c r="T381" s="1">
        <v>1</v>
      </c>
      <c r="U381" s="1">
        <f t="shared" si="31"/>
        <v>1</v>
      </c>
      <c r="V381" s="1">
        <v>0</v>
      </c>
      <c r="W381" s="1">
        <f t="shared" si="30"/>
        <v>1</v>
      </c>
      <c r="X381" s="5">
        <f t="shared" si="28"/>
        <v>0</v>
      </c>
    </row>
    <row r="382" spans="1:24" ht="15" customHeight="1">
      <c r="A382" s="6">
        <v>46054</v>
      </c>
      <c r="B382" s="1" t="s">
        <v>61</v>
      </c>
      <c r="C382" s="1" t="s">
        <v>1127</v>
      </c>
      <c r="D382" s="1" t="s">
        <v>1142</v>
      </c>
      <c r="E382" s="1" t="s">
        <v>1143</v>
      </c>
      <c r="F382" s="1" t="s">
        <v>1135</v>
      </c>
      <c r="G382" s="1"/>
      <c r="H382" s="1" t="s">
        <v>54</v>
      </c>
      <c r="I382" s="2">
        <v>5.12</v>
      </c>
      <c r="J382" s="2">
        <v>596074</v>
      </c>
      <c r="K382" s="2">
        <v>44663</v>
      </c>
      <c r="L382" s="2">
        <v>0</v>
      </c>
      <c r="M382" s="2">
        <v>0</v>
      </c>
      <c r="N382" s="2">
        <v>1880</v>
      </c>
      <c r="O382" s="2">
        <v>642617</v>
      </c>
      <c r="P382" s="1" t="s">
        <v>1131</v>
      </c>
      <c r="Q382" s="1" t="s">
        <v>35</v>
      </c>
      <c r="R382" s="1" t="s">
        <v>732</v>
      </c>
      <c r="S382" s="1">
        <v>0</v>
      </c>
      <c r="T382" s="1">
        <v>1</v>
      </c>
      <c r="U382" s="1">
        <f t="shared" si="31"/>
        <v>1</v>
      </c>
      <c r="V382" s="1">
        <v>0</v>
      </c>
      <c r="W382" s="1">
        <f t="shared" si="30"/>
        <v>1</v>
      </c>
      <c r="X382" s="5">
        <f t="shared" si="28"/>
        <v>0</v>
      </c>
    </row>
    <row r="383" spans="1:24" ht="15" customHeight="1">
      <c r="A383" s="6">
        <v>46054</v>
      </c>
      <c r="B383" s="1" t="s">
        <v>61</v>
      </c>
      <c r="C383" s="1" t="s">
        <v>1127</v>
      </c>
      <c r="D383" s="1" t="s">
        <v>1144</v>
      </c>
      <c r="E383" s="1" t="s">
        <v>1145</v>
      </c>
      <c r="F383" s="1" t="s">
        <v>1135</v>
      </c>
      <c r="G383" s="1"/>
      <c r="H383" s="1" t="s">
        <v>54</v>
      </c>
      <c r="I383" s="2">
        <v>6</v>
      </c>
      <c r="J383" s="2">
        <v>611154</v>
      </c>
      <c r="K383" s="2">
        <v>44950</v>
      </c>
      <c r="L383" s="2">
        <v>0</v>
      </c>
      <c r="M383" s="2">
        <v>0</v>
      </c>
      <c r="N383" s="2">
        <v>1893</v>
      </c>
      <c r="O383" s="2">
        <v>657997</v>
      </c>
      <c r="P383" s="1" t="s">
        <v>1131</v>
      </c>
      <c r="Q383" s="1" t="s">
        <v>35</v>
      </c>
      <c r="R383" s="1" t="s">
        <v>732</v>
      </c>
      <c r="S383" s="1">
        <v>0</v>
      </c>
      <c r="T383" s="1">
        <v>1</v>
      </c>
      <c r="U383" s="1">
        <f t="shared" si="31"/>
        <v>1</v>
      </c>
      <c r="V383" s="1">
        <v>0</v>
      </c>
      <c r="W383" s="1">
        <f t="shared" si="30"/>
        <v>1</v>
      </c>
      <c r="X383" s="5">
        <f t="shared" si="28"/>
        <v>0</v>
      </c>
    </row>
    <row r="384" spans="1:24">
      <c r="A384" s="6">
        <v>46054</v>
      </c>
      <c r="B384" s="1" t="s">
        <v>61</v>
      </c>
      <c r="C384" s="1" t="s">
        <v>1127</v>
      </c>
      <c r="D384" s="1" t="s">
        <v>1146</v>
      </c>
      <c r="E384" s="1" t="s">
        <v>169</v>
      </c>
      <c r="F384" s="1" t="s">
        <v>1147</v>
      </c>
      <c r="G384" s="1" t="s">
        <v>1135</v>
      </c>
      <c r="H384" s="1" t="s">
        <v>54</v>
      </c>
      <c r="I384" s="2">
        <v>6</v>
      </c>
      <c r="J384" s="2">
        <v>649316</v>
      </c>
      <c r="K384" s="2">
        <v>44799</v>
      </c>
      <c r="L384" s="2">
        <v>0</v>
      </c>
      <c r="M384" s="2">
        <v>0</v>
      </c>
      <c r="N384" s="2">
        <v>1886</v>
      </c>
      <c r="O384" s="2">
        <v>696001</v>
      </c>
      <c r="P384" s="1" t="s">
        <v>1131</v>
      </c>
      <c r="Q384" s="1" t="s">
        <v>35</v>
      </c>
      <c r="R384" s="1" t="s">
        <v>732</v>
      </c>
      <c r="S384" s="1">
        <v>0</v>
      </c>
      <c r="T384" s="1">
        <v>1</v>
      </c>
      <c r="U384" s="1">
        <f t="shared" si="31"/>
        <v>1</v>
      </c>
      <c r="V384" s="1">
        <v>0</v>
      </c>
      <c r="W384" s="1">
        <f t="shared" si="30"/>
        <v>1</v>
      </c>
      <c r="X384" s="5">
        <f t="shared" si="28"/>
        <v>0</v>
      </c>
    </row>
    <row r="385" spans="1:24" ht="15" customHeight="1">
      <c r="A385" s="6">
        <v>46054</v>
      </c>
      <c r="B385" s="1" t="s">
        <v>61</v>
      </c>
      <c r="C385" s="1" t="s">
        <v>1127</v>
      </c>
      <c r="D385" s="1" t="s">
        <v>1148</v>
      </c>
      <c r="E385" s="1" t="s">
        <v>1149</v>
      </c>
      <c r="F385" s="1" t="s">
        <v>1130</v>
      </c>
      <c r="G385" s="1"/>
      <c r="H385" s="1" t="s">
        <v>54</v>
      </c>
      <c r="I385" s="2">
        <v>6.25</v>
      </c>
      <c r="J385" s="2">
        <v>937155</v>
      </c>
      <c r="K385" s="2">
        <v>44690</v>
      </c>
      <c r="L385" s="2">
        <v>0</v>
      </c>
      <c r="M385" s="2">
        <v>0</v>
      </c>
      <c r="N385" s="2">
        <v>1893</v>
      </c>
      <c r="O385" s="2">
        <v>983738</v>
      </c>
      <c r="P385" s="1" t="s">
        <v>1131</v>
      </c>
      <c r="Q385" s="1" t="s">
        <v>35</v>
      </c>
      <c r="R385" s="1" t="s">
        <v>732</v>
      </c>
      <c r="S385" s="1">
        <v>0</v>
      </c>
      <c r="T385" s="1">
        <v>1</v>
      </c>
      <c r="U385" s="1">
        <f t="shared" si="31"/>
        <v>1</v>
      </c>
      <c r="V385" s="1">
        <v>0</v>
      </c>
      <c r="W385" s="1">
        <f t="shared" si="30"/>
        <v>1</v>
      </c>
      <c r="X385" s="5">
        <f t="shared" ref="X385:X448" si="32">100/U385*S385</f>
        <v>0</v>
      </c>
    </row>
    <row r="386" spans="1:24">
      <c r="A386" s="6">
        <v>46054</v>
      </c>
      <c r="B386" s="1" t="s">
        <v>61</v>
      </c>
      <c r="C386" s="1" t="s">
        <v>1127</v>
      </c>
      <c r="D386" s="1" t="s">
        <v>1150</v>
      </c>
      <c r="E386" s="1" t="s">
        <v>169</v>
      </c>
      <c r="F386" s="1" t="s">
        <v>1151</v>
      </c>
      <c r="G386" s="1" t="s">
        <v>1135</v>
      </c>
      <c r="H386" s="1" t="s">
        <v>54</v>
      </c>
      <c r="I386" s="2">
        <v>5</v>
      </c>
      <c r="J386" s="2">
        <v>667948</v>
      </c>
      <c r="K386" s="2">
        <v>44902</v>
      </c>
      <c r="L386" s="2">
        <v>0</v>
      </c>
      <c r="M386" s="2">
        <v>0</v>
      </c>
      <c r="N386" s="2">
        <v>1892</v>
      </c>
      <c r="O386" s="2">
        <v>714742</v>
      </c>
      <c r="P386" s="1" t="s">
        <v>1131</v>
      </c>
      <c r="Q386" s="1" t="s">
        <v>35</v>
      </c>
      <c r="R386" s="1" t="s">
        <v>732</v>
      </c>
      <c r="S386" s="1">
        <v>0</v>
      </c>
      <c r="T386" s="1">
        <v>1</v>
      </c>
      <c r="U386" s="1">
        <f t="shared" ref="U386:U449" si="33">T386+S386</f>
        <v>1</v>
      </c>
      <c r="V386" s="1">
        <v>0</v>
      </c>
      <c r="W386" s="1">
        <f t="shared" ref="W386:W449" si="34">V386+U386</f>
        <v>1</v>
      </c>
      <c r="X386" s="5">
        <f t="shared" si="32"/>
        <v>0</v>
      </c>
    </row>
    <row r="387" spans="1:24" ht="15" customHeight="1">
      <c r="A387" s="6">
        <v>46054</v>
      </c>
      <c r="B387" s="1" t="s">
        <v>61</v>
      </c>
      <c r="C387" s="1" t="s">
        <v>1127</v>
      </c>
      <c r="D387" s="1" t="s">
        <v>1417</v>
      </c>
      <c r="E387" s="1" t="s">
        <v>169</v>
      </c>
      <c r="F387" s="1" t="s">
        <v>1152</v>
      </c>
      <c r="G387" s="1" t="s">
        <v>1135</v>
      </c>
      <c r="H387" s="1" t="s">
        <v>54</v>
      </c>
      <c r="I387" s="2">
        <v>6.25</v>
      </c>
      <c r="J387" s="2">
        <v>1226402</v>
      </c>
      <c r="K387" s="2">
        <v>44788</v>
      </c>
      <c r="L387" s="2">
        <v>0</v>
      </c>
      <c r="M387" s="2">
        <v>0</v>
      </c>
      <c r="N387" s="2">
        <v>1886</v>
      </c>
      <c r="O387" s="2">
        <v>1273076</v>
      </c>
      <c r="P387" s="1" t="s">
        <v>1131</v>
      </c>
      <c r="Q387" s="1" t="s">
        <v>35</v>
      </c>
      <c r="R387" s="1" t="s">
        <v>732</v>
      </c>
      <c r="S387" s="1">
        <v>0</v>
      </c>
      <c r="T387" s="1">
        <v>1</v>
      </c>
      <c r="U387" s="1">
        <f t="shared" si="33"/>
        <v>1</v>
      </c>
      <c r="V387" s="1">
        <v>0</v>
      </c>
      <c r="W387" s="1">
        <f t="shared" si="34"/>
        <v>1</v>
      </c>
      <c r="X387" s="5">
        <f t="shared" si="32"/>
        <v>0</v>
      </c>
    </row>
    <row r="388" spans="1:24" ht="15" customHeight="1">
      <c r="A388" s="6">
        <v>46054</v>
      </c>
      <c r="B388" s="1" t="s">
        <v>61</v>
      </c>
      <c r="C388" s="1" t="s">
        <v>1127</v>
      </c>
      <c r="D388" s="1" t="s">
        <v>1156</v>
      </c>
      <c r="E388" s="1" t="s">
        <v>169</v>
      </c>
      <c r="F388" s="1" t="s">
        <v>1152</v>
      </c>
      <c r="G388" s="1" t="s">
        <v>1135</v>
      </c>
      <c r="H388" s="1" t="s">
        <v>54</v>
      </c>
      <c r="I388" s="2">
        <v>6.25</v>
      </c>
      <c r="J388" s="2">
        <v>625729</v>
      </c>
      <c r="K388" s="2">
        <v>44723</v>
      </c>
      <c r="L388" s="2">
        <v>0</v>
      </c>
      <c r="M388" s="2">
        <v>0</v>
      </c>
      <c r="N388" s="2">
        <v>1883</v>
      </c>
      <c r="O388" s="2">
        <v>672335</v>
      </c>
      <c r="P388" s="1" t="s">
        <v>1131</v>
      </c>
      <c r="Q388" s="1" t="s">
        <v>35</v>
      </c>
      <c r="R388" s="1" t="s">
        <v>732</v>
      </c>
      <c r="S388" s="1">
        <v>0</v>
      </c>
      <c r="T388" s="1">
        <v>1</v>
      </c>
      <c r="U388" s="1">
        <f t="shared" si="33"/>
        <v>1</v>
      </c>
      <c r="V388" s="1">
        <v>0</v>
      </c>
      <c r="W388" s="1">
        <f t="shared" si="34"/>
        <v>1</v>
      </c>
      <c r="X388" s="5">
        <f t="shared" si="32"/>
        <v>0</v>
      </c>
    </row>
    <row r="389" spans="1:24" ht="15" customHeight="1">
      <c r="A389" s="6">
        <v>46054</v>
      </c>
      <c r="B389" s="1" t="s">
        <v>18</v>
      </c>
      <c r="C389" s="1" t="s">
        <v>1157</v>
      </c>
      <c r="D389" s="1" t="s">
        <v>1158</v>
      </c>
      <c r="E389" s="1" t="s">
        <v>1159</v>
      </c>
      <c r="F389" s="1" t="s">
        <v>972</v>
      </c>
      <c r="G389" s="1" t="s">
        <v>1160</v>
      </c>
      <c r="H389" s="1" t="s">
        <v>24</v>
      </c>
      <c r="I389" s="2">
        <v>1.06</v>
      </c>
      <c r="J389" s="2">
        <v>807049</v>
      </c>
      <c r="K389" s="2">
        <v>1670</v>
      </c>
      <c r="L389" s="2">
        <v>0</v>
      </c>
      <c r="M389" s="2">
        <v>0</v>
      </c>
      <c r="N389" s="2">
        <v>100</v>
      </c>
      <c r="O389" s="2">
        <v>808819</v>
      </c>
      <c r="P389" s="1" t="s">
        <v>720</v>
      </c>
      <c r="Q389" s="1" t="s">
        <v>35</v>
      </c>
      <c r="R389" s="1" t="s">
        <v>735</v>
      </c>
      <c r="S389" s="1">
        <v>0</v>
      </c>
      <c r="T389" s="1">
        <v>1</v>
      </c>
      <c r="U389" s="1">
        <f t="shared" si="33"/>
        <v>1</v>
      </c>
      <c r="V389" s="1">
        <v>0</v>
      </c>
      <c r="W389" s="1">
        <f t="shared" si="34"/>
        <v>1</v>
      </c>
      <c r="X389" s="5">
        <f t="shared" si="32"/>
        <v>0</v>
      </c>
    </row>
    <row r="390" spans="1:24">
      <c r="A390" s="6">
        <v>46054</v>
      </c>
      <c r="B390" s="1" t="s">
        <v>18</v>
      </c>
      <c r="C390" s="1" t="s">
        <v>1157</v>
      </c>
      <c r="D390" s="1" t="s">
        <v>1161</v>
      </c>
      <c r="E390" s="1" t="s">
        <v>1162</v>
      </c>
      <c r="F390" s="1" t="s">
        <v>1163</v>
      </c>
      <c r="G390" s="1" t="s">
        <v>1160</v>
      </c>
      <c r="H390" s="1" t="s">
        <v>24</v>
      </c>
      <c r="I390" s="2">
        <v>0.85</v>
      </c>
      <c r="J390" s="2">
        <v>31927</v>
      </c>
      <c r="K390" s="2">
        <v>11114</v>
      </c>
      <c r="L390" s="2">
        <v>0</v>
      </c>
      <c r="M390" s="2">
        <v>0</v>
      </c>
      <c r="N390" s="2">
        <v>994</v>
      </c>
      <c r="O390" s="2">
        <v>44035</v>
      </c>
      <c r="P390" s="1" t="s">
        <v>720</v>
      </c>
      <c r="Q390" s="1" t="s">
        <v>35</v>
      </c>
      <c r="R390" s="1" t="s">
        <v>66</v>
      </c>
      <c r="S390" s="1">
        <v>0</v>
      </c>
      <c r="T390" s="1">
        <v>1</v>
      </c>
      <c r="U390" s="1">
        <f t="shared" si="33"/>
        <v>1</v>
      </c>
      <c r="V390" s="1">
        <v>0</v>
      </c>
      <c r="W390" s="1">
        <f t="shared" si="34"/>
        <v>1</v>
      </c>
      <c r="X390" s="5">
        <f t="shared" si="32"/>
        <v>0</v>
      </c>
    </row>
    <row r="391" spans="1:24">
      <c r="A391" s="6">
        <v>46054</v>
      </c>
      <c r="B391" s="1" t="s">
        <v>49</v>
      </c>
      <c r="C391" s="1" t="s">
        <v>1157</v>
      </c>
      <c r="D391" s="1" t="s">
        <v>1164</v>
      </c>
      <c r="E391" s="1" t="s">
        <v>169</v>
      </c>
      <c r="F391" s="1" t="s">
        <v>1165</v>
      </c>
      <c r="G391" s="1"/>
      <c r="H391" s="1" t="s">
        <v>54</v>
      </c>
      <c r="I391" s="2">
        <v>3.75</v>
      </c>
      <c r="J391" s="2">
        <v>1222745</v>
      </c>
      <c r="K391" s="2">
        <v>2659</v>
      </c>
      <c r="L391" s="2">
        <v>0</v>
      </c>
      <c r="M391" s="2">
        <v>0</v>
      </c>
      <c r="N391" s="2">
        <v>339</v>
      </c>
      <c r="O391" s="2">
        <v>1225743</v>
      </c>
      <c r="P391" s="1" t="s">
        <v>720</v>
      </c>
      <c r="Q391" s="1" t="s">
        <v>35</v>
      </c>
      <c r="R391" s="1" t="s">
        <v>66</v>
      </c>
      <c r="S391" s="1">
        <v>0</v>
      </c>
      <c r="T391" s="1">
        <v>1</v>
      </c>
      <c r="U391" s="1">
        <f t="shared" si="33"/>
        <v>1</v>
      </c>
      <c r="V391" s="1">
        <v>0</v>
      </c>
      <c r="W391" s="1">
        <f t="shared" si="34"/>
        <v>1</v>
      </c>
      <c r="X391" s="5">
        <f t="shared" si="32"/>
        <v>0</v>
      </c>
    </row>
    <row r="392" spans="1:24" ht="15" customHeight="1">
      <c r="A392" s="6">
        <v>46054</v>
      </c>
      <c r="B392" s="1" t="s">
        <v>49</v>
      </c>
      <c r="C392" s="1" t="s">
        <v>1166</v>
      </c>
      <c r="D392" s="1" t="s">
        <v>1167</v>
      </c>
      <c r="E392" s="1" t="s">
        <v>1168</v>
      </c>
      <c r="F392" s="1" t="s">
        <v>1169</v>
      </c>
      <c r="G392" s="1" t="s">
        <v>1170</v>
      </c>
      <c r="H392" s="1" t="s">
        <v>54</v>
      </c>
      <c r="I392" s="2">
        <v>4</v>
      </c>
      <c r="J392" s="2">
        <v>4478016</v>
      </c>
      <c r="K392" s="2">
        <v>2659</v>
      </c>
      <c r="L392" s="2">
        <v>0</v>
      </c>
      <c r="M392" s="2">
        <v>0</v>
      </c>
      <c r="N392" s="2">
        <v>339</v>
      </c>
      <c r="O392" s="2">
        <v>4481014</v>
      </c>
      <c r="P392" s="1" t="s">
        <v>1131</v>
      </c>
      <c r="Q392" s="1" t="s">
        <v>35</v>
      </c>
      <c r="R392" s="1" t="s">
        <v>66</v>
      </c>
      <c r="S392" s="1">
        <v>0</v>
      </c>
      <c r="T392" s="1">
        <v>1</v>
      </c>
      <c r="U392" s="1">
        <f t="shared" si="33"/>
        <v>1</v>
      </c>
      <c r="V392" s="1">
        <v>0</v>
      </c>
      <c r="W392" s="1">
        <f t="shared" si="34"/>
        <v>1</v>
      </c>
      <c r="X392" s="5">
        <f t="shared" si="32"/>
        <v>0</v>
      </c>
    </row>
    <row r="393" spans="1:24">
      <c r="A393" s="6">
        <v>46054</v>
      </c>
      <c r="B393" s="1" t="s">
        <v>49</v>
      </c>
      <c r="C393" s="1" t="s">
        <v>1166</v>
      </c>
      <c r="D393" s="1" t="s">
        <v>1171</v>
      </c>
      <c r="E393" s="1" t="s">
        <v>1172</v>
      </c>
      <c r="F393" s="1" t="s">
        <v>1173</v>
      </c>
      <c r="G393" s="1" t="s">
        <v>1170</v>
      </c>
      <c r="H393" s="1" t="s">
        <v>24</v>
      </c>
      <c r="I393" s="2">
        <v>29.84</v>
      </c>
      <c r="J393" s="2">
        <v>14287604</v>
      </c>
      <c r="K393" s="2">
        <v>1181</v>
      </c>
      <c r="L393" s="2">
        <v>0</v>
      </c>
      <c r="M393" s="2">
        <v>0</v>
      </c>
      <c r="N393" s="2">
        <v>164</v>
      </c>
      <c r="O393" s="2">
        <v>14288949</v>
      </c>
      <c r="P393" s="1" t="s">
        <v>1131</v>
      </c>
      <c r="Q393" s="1" t="s">
        <v>35</v>
      </c>
      <c r="R393" s="1" t="s">
        <v>386</v>
      </c>
      <c r="S393" s="1">
        <v>1</v>
      </c>
      <c r="T393" s="1">
        <v>0</v>
      </c>
      <c r="U393" s="1">
        <f t="shared" si="33"/>
        <v>1</v>
      </c>
      <c r="V393" s="1">
        <v>0</v>
      </c>
      <c r="W393" s="1">
        <f t="shared" si="34"/>
        <v>1</v>
      </c>
      <c r="X393" s="5">
        <f t="shared" si="32"/>
        <v>100</v>
      </c>
    </row>
    <row r="394" spans="1:24">
      <c r="A394" s="6">
        <v>46054</v>
      </c>
      <c r="B394" s="1" t="s">
        <v>18</v>
      </c>
      <c r="C394" s="1" t="s">
        <v>1174</v>
      </c>
      <c r="D394" s="1" t="s">
        <v>917</v>
      </c>
      <c r="E394" s="1" t="s">
        <v>1175</v>
      </c>
      <c r="F394" s="1" t="s">
        <v>1176</v>
      </c>
      <c r="G394" s="1"/>
      <c r="H394" s="1" t="s">
        <v>24</v>
      </c>
      <c r="I394" s="2">
        <v>1</v>
      </c>
      <c r="J394" s="2">
        <v>672216</v>
      </c>
      <c r="K394" s="2">
        <v>35064</v>
      </c>
      <c r="L394" s="2">
        <v>0</v>
      </c>
      <c r="M394" s="2">
        <v>0</v>
      </c>
      <c r="N394" s="2">
        <v>362</v>
      </c>
      <c r="O394" s="2">
        <v>707642</v>
      </c>
      <c r="P394" s="1" t="s">
        <v>1131</v>
      </c>
      <c r="Q394" s="1" t="s">
        <v>35</v>
      </c>
      <c r="R394" s="1" t="s">
        <v>732</v>
      </c>
      <c r="S394" s="1">
        <v>0</v>
      </c>
      <c r="T394" s="1">
        <v>1</v>
      </c>
      <c r="U394" s="1">
        <f t="shared" si="33"/>
        <v>1</v>
      </c>
      <c r="V394" s="1">
        <v>0</v>
      </c>
      <c r="W394" s="1">
        <f t="shared" si="34"/>
        <v>1</v>
      </c>
      <c r="X394" s="5">
        <f t="shared" si="32"/>
        <v>0</v>
      </c>
    </row>
    <row r="395" spans="1:24">
      <c r="A395" s="6">
        <v>46054</v>
      </c>
      <c r="B395" s="1" t="s">
        <v>49</v>
      </c>
      <c r="C395" s="1" t="s">
        <v>1174</v>
      </c>
      <c r="D395" s="1" t="s">
        <v>1177</v>
      </c>
      <c r="E395" s="1" t="s">
        <v>1178</v>
      </c>
      <c r="F395" s="1" t="s">
        <v>1179</v>
      </c>
      <c r="G395" s="1"/>
      <c r="H395" s="1" t="s">
        <v>54</v>
      </c>
      <c r="I395" s="2">
        <v>4</v>
      </c>
      <c r="J395" s="2">
        <v>304093</v>
      </c>
      <c r="K395" s="2">
        <v>2509</v>
      </c>
      <c r="L395" s="2">
        <v>0</v>
      </c>
      <c r="M395" s="2">
        <v>0</v>
      </c>
      <c r="N395" s="2">
        <v>321</v>
      </c>
      <c r="O395" s="2">
        <v>306923</v>
      </c>
      <c r="P395" s="1" t="s">
        <v>1131</v>
      </c>
      <c r="Q395" s="1" t="s">
        <v>35</v>
      </c>
      <c r="R395" s="1" t="s">
        <v>66</v>
      </c>
      <c r="S395" s="1">
        <v>0</v>
      </c>
      <c r="T395" s="1">
        <v>1</v>
      </c>
      <c r="U395" s="1">
        <f t="shared" si="33"/>
        <v>1</v>
      </c>
      <c r="V395" s="1">
        <v>0</v>
      </c>
      <c r="W395" s="1">
        <f t="shared" si="34"/>
        <v>1</v>
      </c>
      <c r="X395" s="5">
        <f t="shared" si="32"/>
        <v>0</v>
      </c>
    </row>
    <row r="396" spans="1:24">
      <c r="A396" s="6">
        <v>46054</v>
      </c>
      <c r="B396" s="1" t="s">
        <v>49</v>
      </c>
      <c r="C396" s="1" t="s">
        <v>1174</v>
      </c>
      <c r="D396" s="1" t="s">
        <v>1180</v>
      </c>
      <c r="E396" s="1" t="s">
        <v>380</v>
      </c>
      <c r="F396" s="1" t="s">
        <v>1170</v>
      </c>
      <c r="G396" s="1" t="s">
        <v>1170</v>
      </c>
      <c r="H396" s="1" t="s">
        <v>54</v>
      </c>
      <c r="I396" s="2">
        <v>6</v>
      </c>
      <c r="J396" s="2">
        <v>356890</v>
      </c>
      <c r="K396" s="2">
        <v>2598</v>
      </c>
      <c r="L396" s="2">
        <v>0</v>
      </c>
      <c r="M396" s="2">
        <v>0</v>
      </c>
      <c r="N396" s="2">
        <v>330</v>
      </c>
      <c r="O396" s="2">
        <v>359818</v>
      </c>
      <c r="P396" s="1" t="s">
        <v>1131</v>
      </c>
      <c r="Q396" s="1" t="s">
        <v>35</v>
      </c>
      <c r="R396" s="1" t="s">
        <v>66</v>
      </c>
      <c r="S396" s="1">
        <v>0</v>
      </c>
      <c r="T396" s="1">
        <v>1</v>
      </c>
      <c r="U396" s="1">
        <f t="shared" si="33"/>
        <v>1</v>
      </c>
      <c r="V396" s="1">
        <v>0</v>
      </c>
      <c r="W396" s="1">
        <f t="shared" si="34"/>
        <v>1</v>
      </c>
      <c r="X396" s="5">
        <f t="shared" si="32"/>
        <v>0</v>
      </c>
    </row>
    <row r="397" spans="1:24">
      <c r="A397" s="6">
        <v>46054</v>
      </c>
      <c r="B397" s="1" t="s">
        <v>49</v>
      </c>
      <c r="C397" s="1" t="s">
        <v>1174</v>
      </c>
      <c r="D397" s="1" t="s">
        <v>1181</v>
      </c>
      <c r="E397" s="1" t="s">
        <v>1182</v>
      </c>
      <c r="F397" s="1" t="s">
        <v>1183</v>
      </c>
      <c r="G397" s="1" t="s">
        <v>1170</v>
      </c>
      <c r="H397" s="1" t="s">
        <v>54</v>
      </c>
      <c r="I397" s="2">
        <v>2</v>
      </c>
      <c r="J397" s="2">
        <v>198375</v>
      </c>
      <c r="K397" s="2">
        <v>2509</v>
      </c>
      <c r="L397" s="2">
        <v>0</v>
      </c>
      <c r="M397" s="2">
        <v>0</v>
      </c>
      <c r="N397" s="2">
        <v>321</v>
      </c>
      <c r="O397" s="2">
        <v>201205</v>
      </c>
      <c r="P397" s="1" t="s">
        <v>1131</v>
      </c>
      <c r="Q397" s="1" t="s">
        <v>35</v>
      </c>
      <c r="R397" s="1" t="s">
        <v>66</v>
      </c>
      <c r="S397" s="1">
        <v>0</v>
      </c>
      <c r="T397" s="1">
        <v>1</v>
      </c>
      <c r="U397" s="1">
        <f t="shared" si="33"/>
        <v>1</v>
      </c>
      <c r="V397" s="1">
        <v>0</v>
      </c>
      <c r="W397" s="1">
        <f t="shared" si="34"/>
        <v>1</v>
      </c>
      <c r="X397" s="5">
        <f t="shared" si="32"/>
        <v>0</v>
      </c>
    </row>
    <row r="398" spans="1:24">
      <c r="A398" s="6">
        <v>46054</v>
      </c>
      <c r="B398" s="1" t="s">
        <v>49</v>
      </c>
      <c r="C398" s="1" t="s">
        <v>1174</v>
      </c>
      <c r="D398" s="1" t="s">
        <v>1184</v>
      </c>
      <c r="E398" s="1" t="s">
        <v>377</v>
      </c>
      <c r="F398" s="1" t="s">
        <v>1185</v>
      </c>
      <c r="G398" s="1" t="s">
        <v>1170</v>
      </c>
      <c r="H398" s="1" t="s">
        <v>54</v>
      </c>
      <c r="I398" s="2">
        <v>8</v>
      </c>
      <c r="J398" s="2">
        <v>571681</v>
      </c>
      <c r="K398" s="2">
        <v>2659</v>
      </c>
      <c r="L398" s="2">
        <v>0</v>
      </c>
      <c r="M398" s="2">
        <v>0</v>
      </c>
      <c r="N398" s="2">
        <v>339</v>
      </c>
      <c r="O398" s="2">
        <v>574679</v>
      </c>
      <c r="P398" s="1" t="s">
        <v>1131</v>
      </c>
      <c r="Q398" s="1" t="s">
        <v>35</v>
      </c>
      <c r="R398" s="1" t="s">
        <v>66</v>
      </c>
      <c r="S398" s="1">
        <v>0</v>
      </c>
      <c r="T398" s="1">
        <v>1</v>
      </c>
      <c r="U398" s="1">
        <f t="shared" si="33"/>
        <v>1</v>
      </c>
      <c r="V398" s="1">
        <v>0</v>
      </c>
      <c r="W398" s="1">
        <f t="shared" si="34"/>
        <v>1</v>
      </c>
      <c r="X398" s="5">
        <f t="shared" si="32"/>
        <v>0</v>
      </c>
    </row>
    <row r="399" spans="1:24" ht="15" customHeight="1">
      <c r="A399" s="6">
        <v>46054</v>
      </c>
      <c r="B399" s="1" t="s">
        <v>49</v>
      </c>
      <c r="C399" s="1" t="s">
        <v>1174</v>
      </c>
      <c r="D399" s="1" t="s">
        <v>1186</v>
      </c>
      <c r="E399" s="1" t="s">
        <v>1182</v>
      </c>
      <c r="F399" s="1" t="s">
        <v>1170</v>
      </c>
      <c r="G399" s="1" t="s">
        <v>1170</v>
      </c>
      <c r="H399" s="1" t="s">
        <v>54</v>
      </c>
      <c r="I399" s="2">
        <v>3</v>
      </c>
      <c r="J399" s="2">
        <v>258557</v>
      </c>
      <c r="K399" s="2">
        <v>2629</v>
      </c>
      <c r="L399" s="2">
        <v>0</v>
      </c>
      <c r="M399" s="2">
        <v>0</v>
      </c>
      <c r="N399" s="2">
        <v>336</v>
      </c>
      <c r="O399" s="2">
        <v>261522</v>
      </c>
      <c r="P399" s="1" t="s">
        <v>1131</v>
      </c>
      <c r="Q399" s="1" t="s">
        <v>35</v>
      </c>
      <c r="R399" s="1" t="s">
        <v>66</v>
      </c>
      <c r="S399" s="1">
        <v>0</v>
      </c>
      <c r="T399" s="1">
        <v>1</v>
      </c>
      <c r="U399" s="1">
        <f t="shared" si="33"/>
        <v>1</v>
      </c>
      <c r="V399" s="1">
        <v>0</v>
      </c>
      <c r="W399" s="1">
        <f t="shared" si="34"/>
        <v>1</v>
      </c>
      <c r="X399" s="5">
        <f t="shared" si="32"/>
        <v>0</v>
      </c>
    </row>
    <row r="400" spans="1:24" ht="15" customHeight="1">
      <c r="A400" s="6">
        <v>46054</v>
      </c>
      <c r="B400" s="1" t="s">
        <v>49</v>
      </c>
      <c r="C400" s="1" t="s">
        <v>1174</v>
      </c>
      <c r="D400" s="1" t="s">
        <v>1187</v>
      </c>
      <c r="E400" s="1" t="s">
        <v>377</v>
      </c>
      <c r="F400" s="1" t="s">
        <v>1188</v>
      </c>
      <c r="G400" s="1" t="s">
        <v>1170</v>
      </c>
      <c r="H400" s="1" t="s">
        <v>54</v>
      </c>
      <c r="I400" s="2">
        <v>2.5</v>
      </c>
      <c r="J400" s="2">
        <v>331928</v>
      </c>
      <c r="K400" s="2">
        <v>2659</v>
      </c>
      <c r="L400" s="2">
        <v>0</v>
      </c>
      <c r="M400" s="2">
        <v>0</v>
      </c>
      <c r="N400" s="2">
        <v>339</v>
      </c>
      <c r="O400" s="2">
        <v>334926</v>
      </c>
      <c r="P400" s="1" t="s">
        <v>1131</v>
      </c>
      <c r="Q400" s="1" t="s">
        <v>35</v>
      </c>
      <c r="R400" s="1" t="s">
        <v>66</v>
      </c>
      <c r="S400" s="1">
        <v>0</v>
      </c>
      <c r="T400" s="1">
        <v>1</v>
      </c>
      <c r="U400" s="1">
        <f t="shared" si="33"/>
        <v>1</v>
      </c>
      <c r="V400" s="1">
        <v>0</v>
      </c>
      <c r="W400" s="1">
        <f t="shared" si="34"/>
        <v>1</v>
      </c>
      <c r="X400" s="5">
        <f t="shared" si="32"/>
        <v>0</v>
      </c>
    </row>
    <row r="401" spans="1:24" ht="15" customHeight="1">
      <c r="A401" s="6">
        <v>46054</v>
      </c>
      <c r="B401" s="1" t="s">
        <v>49</v>
      </c>
      <c r="C401" s="1" t="s">
        <v>1174</v>
      </c>
      <c r="D401" s="1" t="s">
        <v>1189</v>
      </c>
      <c r="E401" s="1" t="s">
        <v>377</v>
      </c>
      <c r="F401" s="1" t="s">
        <v>1170</v>
      </c>
      <c r="G401" s="1" t="s">
        <v>1170</v>
      </c>
      <c r="H401" s="1" t="s">
        <v>54</v>
      </c>
      <c r="I401" s="2">
        <v>2.5</v>
      </c>
      <c r="J401" s="2">
        <v>271043</v>
      </c>
      <c r="K401" s="2">
        <v>2659</v>
      </c>
      <c r="L401" s="2">
        <v>0</v>
      </c>
      <c r="M401" s="2">
        <v>0</v>
      </c>
      <c r="N401" s="2">
        <v>339</v>
      </c>
      <c r="O401" s="2">
        <v>274041</v>
      </c>
      <c r="P401" s="1" t="s">
        <v>1131</v>
      </c>
      <c r="Q401" s="1" t="s">
        <v>35</v>
      </c>
      <c r="R401" s="1" t="s">
        <v>66</v>
      </c>
      <c r="S401" s="1">
        <v>0</v>
      </c>
      <c r="T401" s="1">
        <v>1</v>
      </c>
      <c r="U401" s="1">
        <f t="shared" si="33"/>
        <v>1</v>
      </c>
      <c r="V401" s="1">
        <v>0</v>
      </c>
      <c r="W401" s="1">
        <f t="shared" si="34"/>
        <v>1</v>
      </c>
      <c r="X401" s="5">
        <f t="shared" si="32"/>
        <v>0</v>
      </c>
    </row>
    <row r="402" spans="1:24" ht="15" customHeight="1">
      <c r="A402" s="6">
        <v>46054</v>
      </c>
      <c r="B402" s="1" t="s">
        <v>49</v>
      </c>
      <c r="C402" s="1" t="s">
        <v>1174</v>
      </c>
      <c r="D402" s="1" t="s">
        <v>1190</v>
      </c>
      <c r="E402" s="1" t="s">
        <v>377</v>
      </c>
      <c r="F402" s="1" t="s">
        <v>1170</v>
      </c>
      <c r="G402" s="1"/>
      <c r="H402" s="1" t="s">
        <v>54</v>
      </c>
      <c r="I402" s="2">
        <v>3</v>
      </c>
      <c r="J402" s="2">
        <v>885385</v>
      </c>
      <c r="K402" s="2">
        <v>2659</v>
      </c>
      <c r="L402" s="2">
        <v>0</v>
      </c>
      <c r="M402" s="2">
        <v>0</v>
      </c>
      <c r="N402" s="2">
        <v>339</v>
      </c>
      <c r="O402" s="2">
        <v>888383</v>
      </c>
      <c r="P402" s="1" t="s">
        <v>1131</v>
      </c>
      <c r="Q402" s="1" t="s">
        <v>35</v>
      </c>
      <c r="R402" s="1" t="s">
        <v>66</v>
      </c>
      <c r="S402" s="1">
        <v>0</v>
      </c>
      <c r="T402" s="1">
        <v>1</v>
      </c>
      <c r="U402" s="1">
        <f t="shared" si="33"/>
        <v>1</v>
      </c>
      <c r="V402" s="1">
        <v>0</v>
      </c>
      <c r="W402" s="1">
        <f t="shared" si="34"/>
        <v>1</v>
      </c>
      <c r="X402" s="5">
        <f t="shared" si="32"/>
        <v>0</v>
      </c>
    </row>
    <row r="403" spans="1:24" ht="15" customHeight="1">
      <c r="A403" s="6">
        <v>46054</v>
      </c>
      <c r="B403" s="1" t="s">
        <v>61</v>
      </c>
      <c r="C403" s="1" t="s">
        <v>1174</v>
      </c>
      <c r="D403" s="1" t="s">
        <v>1191</v>
      </c>
      <c r="E403" s="1" t="s">
        <v>1192</v>
      </c>
      <c r="F403" s="1" t="s">
        <v>1193</v>
      </c>
      <c r="G403" s="1" t="s">
        <v>1170</v>
      </c>
      <c r="H403" s="1" t="s">
        <v>54</v>
      </c>
      <c r="I403" s="2">
        <v>16</v>
      </c>
      <c r="J403" s="2">
        <v>1774843</v>
      </c>
      <c r="K403" s="2">
        <v>6790</v>
      </c>
      <c r="L403" s="2">
        <v>0</v>
      </c>
      <c r="M403" s="2">
        <v>0</v>
      </c>
      <c r="N403" s="2">
        <v>288</v>
      </c>
      <c r="O403" s="2">
        <v>1781921</v>
      </c>
      <c r="P403" s="1" t="s">
        <v>1131</v>
      </c>
      <c r="Q403" s="1" t="s">
        <v>35</v>
      </c>
      <c r="R403" s="1" t="s">
        <v>66</v>
      </c>
      <c r="S403" s="1">
        <v>0</v>
      </c>
      <c r="T403" s="1">
        <v>1</v>
      </c>
      <c r="U403" s="1">
        <f t="shared" si="33"/>
        <v>1</v>
      </c>
      <c r="V403" s="1">
        <v>0</v>
      </c>
      <c r="W403" s="1">
        <f t="shared" si="34"/>
        <v>1</v>
      </c>
      <c r="X403" s="5">
        <f t="shared" si="32"/>
        <v>0</v>
      </c>
    </row>
    <row r="404" spans="1:24" ht="15" customHeight="1">
      <c r="A404" s="6">
        <v>46054</v>
      </c>
      <c r="B404" s="1" t="s">
        <v>61</v>
      </c>
      <c r="C404" s="1" t="s">
        <v>1174</v>
      </c>
      <c r="D404" s="1" t="s">
        <v>1194</v>
      </c>
      <c r="E404" s="1" t="s">
        <v>1192</v>
      </c>
      <c r="F404" s="1" t="s">
        <v>1195</v>
      </c>
      <c r="G404" s="1" t="s">
        <v>1170</v>
      </c>
      <c r="H404" s="1" t="s">
        <v>54</v>
      </c>
      <c r="I404" s="2">
        <v>23</v>
      </c>
      <c r="J404" s="2">
        <v>1967461</v>
      </c>
      <c r="K404" s="2">
        <v>49800</v>
      </c>
      <c r="L404" s="2">
        <v>0</v>
      </c>
      <c r="M404" s="2">
        <v>0</v>
      </c>
      <c r="N404" s="2">
        <v>2086</v>
      </c>
      <c r="O404" s="2">
        <v>2019347</v>
      </c>
      <c r="P404" s="1" t="s">
        <v>1131</v>
      </c>
      <c r="Q404" s="1" t="s">
        <v>35</v>
      </c>
      <c r="R404" s="1" t="s">
        <v>66</v>
      </c>
      <c r="S404" s="1">
        <v>1</v>
      </c>
      <c r="T404" s="1">
        <v>0</v>
      </c>
      <c r="U404" s="1">
        <f t="shared" si="33"/>
        <v>1</v>
      </c>
      <c r="V404" s="1">
        <v>0</v>
      </c>
      <c r="W404" s="1">
        <f t="shared" si="34"/>
        <v>1</v>
      </c>
      <c r="X404" s="5">
        <f t="shared" si="32"/>
        <v>100</v>
      </c>
    </row>
    <row r="405" spans="1:24" ht="15" customHeight="1">
      <c r="A405" s="6">
        <v>46054</v>
      </c>
      <c r="B405" s="1" t="s">
        <v>61</v>
      </c>
      <c r="C405" s="1" t="s">
        <v>1174</v>
      </c>
      <c r="D405" s="1" t="s">
        <v>1196</v>
      </c>
      <c r="E405" s="1" t="s">
        <v>1192</v>
      </c>
      <c r="F405" s="1" t="s">
        <v>1197</v>
      </c>
      <c r="G405" s="1" t="s">
        <v>1170</v>
      </c>
      <c r="H405" s="1" t="s">
        <v>54</v>
      </c>
      <c r="I405" s="2">
        <v>16</v>
      </c>
      <c r="J405" s="2">
        <v>1691652</v>
      </c>
      <c r="K405" s="2">
        <v>59197</v>
      </c>
      <c r="L405" s="2">
        <v>0</v>
      </c>
      <c r="M405" s="2">
        <v>0</v>
      </c>
      <c r="N405" s="2">
        <v>2491</v>
      </c>
      <c r="O405" s="2">
        <v>1753340</v>
      </c>
      <c r="P405" s="1" t="s">
        <v>1131</v>
      </c>
      <c r="Q405" s="1" t="s">
        <v>35</v>
      </c>
      <c r="R405" s="1" t="s">
        <v>66</v>
      </c>
      <c r="S405" s="1">
        <v>1</v>
      </c>
      <c r="T405" s="1">
        <v>0</v>
      </c>
      <c r="U405" s="1">
        <f t="shared" si="33"/>
        <v>1</v>
      </c>
      <c r="V405" s="1">
        <v>0</v>
      </c>
      <c r="W405" s="1">
        <f t="shared" si="34"/>
        <v>1</v>
      </c>
      <c r="X405" s="5">
        <f t="shared" si="32"/>
        <v>100</v>
      </c>
    </row>
    <row r="406" spans="1:24" ht="15" customHeight="1">
      <c r="A406" s="6">
        <v>46054</v>
      </c>
      <c r="B406" s="1" t="s">
        <v>18</v>
      </c>
      <c r="C406" s="1" t="s">
        <v>1198</v>
      </c>
      <c r="D406" s="1" t="s">
        <v>1199</v>
      </c>
      <c r="E406" s="1" t="s">
        <v>1200</v>
      </c>
      <c r="F406" s="1" t="s">
        <v>1201</v>
      </c>
      <c r="G406" s="1"/>
      <c r="H406" s="1" t="s">
        <v>24</v>
      </c>
      <c r="I406" s="2">
        <v>14</v>
      </c>
      <c r="J406" s="2">
        <v>3940777</v>
      </c>
      <c r="K406" s="2">
        <v>436101</v>
      </c>
      <c r="L406" s="2">
        <v>0</v>
      </c>
      <c r="M406" s="2">
        <v>0</v>
      </c>
      <c r="N406" s="2">
        <v>3834</v>
      </c>
      <c r="O406" s="2">
        <v>4380712</v>
      </c>
      <c r="P406" s="1" t="s">
        <v>1202</v>
      </c>
      <c r="Q406" s="1" t="s">
        <v>35</v>
      </c>
      <c r="R406" s="1" t="s">
        <v>153</v>
      </c>
      <c r="S406" s="1">
        <v>0</v>
      </c>
      <c r="T406" s="1">
        <v>1</v>
      </c>
      <c r="U406" s="1">
        <f t="shared" si="33"/>
        <v>1</v>
      </c>
      <c r="V406" s="1">
        <v>0</v>
      </c>
      <c r="W406" s="1">
        <f t="shared" si="34"/>
        <v>1</v>
      </c>
      <c r="X406" s="5">
        <f t="shared" si="32"/>
        <v>0</v>
      </c>
    </row>
    <row r="407" spans="1:24" ht="15" customHeight="1">
      <c r="A407" s="6">
        <v>46054</v>
      </c>
      <c r="B407" s="1" t="s">
        <v>18</v>
      </c>
      <c r="C407" s="1" t="s">
        <v>1198</v>
      </c>
      <c r="D407" s="1" t="s">
        <v>1203</v>
      </c>
      <c r="E407" s="1" t="s">
        <v>1204</v>
      </c>
      <c r="F407" s="1" t="s">
        <v>1201</v>
      </c>
      <c r="G407" s="1"/>
      <c r="H407" s="1" t="s">
        <v>60</v>
      </c>
      <c r="I407" s="2">
        <v>3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1" t="s">
        <v>1202</v>
      </c>
      <c r="Q407" s="1" t="s">
        <v>26</v>
      </c>
      <c r="R407" s="1" t="s">
        <v>66</v>
      </c>
      <c r="S407" s="1">
        <v>0</v>
      </c>
      <c r="T407" s="1">
        <v>0</v>
      </c>
      <c r="U407" s="1">
        <f t="shared" si="33"/>
        <v>0</v>
      </c>
      <c r="V407" s="1">
        <v>1</v>
      </c>
      <c r="W407" s="1">
        <f t="shared" si="34"/>
        <v>1</v>
      </c>
      <c r="X407" s="5" t="e">
        <f t="shared" si="32"/>
        <v>#DIV/0!</v>
      </c>
    </row>
    <row r="408" spans="1:24">
      <c r="A408" s="6">
        <v>46054</v>
      </c>
      <c r="B408" s="1" t="s">
        <v>18</v>
      </c>
      <c r="C408" s="1" t="s">
        <v>1198</v>
      </c>
      <c r="D408" s="1" t="s">
        <v>1205</v>
      </c>
      <c r="E408" s="1" t="s">
        <v>1204</v>
      </c>
      <c r="F408" s="1" t="s">
        <v>1201</v>
      </c>
      <c r="G408" s="1"/>
      <c r="H408" s="1" t="s">
        <v>24</v>
      </c>
      <c r="I408" s="2">
        <v>14</v>
      </c>
      <c r="J408" s="2">
        <v>1226557</v>
      </c>
      <c r="K408" s="2">
        <v>461266</v>
      </c>
      <c r="L408" s="2">
        <v>0</v>
      </c>
      <c r="M408" s="2">
        <v>0</v>
      </c>
      <c r="N408" s="2">
        <v>2730</v>
      </c>
      <c r="O408" s="2">
        <v>1690553</v>
      </c>
      <c r="P408" s="1" t="s">
        <v>1202</v>
      </c>
      <c r="Q408" s="1" t="s">
        <v>35</v>
      </c>
      <c r="R408" s="1" t="s">
        <v>66</v>
      </c>
      <c r="S408" s="1">
        <v>0</v>
      </c>
      <c r="T408" s="1">
        <v>1</v>
      </c>
      <c r="U408" s="1">
        <f t="shared" si="33"/>
        <v>1</v>
      </c>
      <c r="V408" s="1">
        <v>0</v>
      </c>
      <c r="W408" s="1">
        <f t="shared" si="34"/>
        <v>1</v>
      </c>
      <c r="X408" s="5">
        <f t="shared" si="32"/>
        <v>0</v>
      </c>
    </row>
    <row r="409" spans="1:24" ht="15" customHeight="1">
      <c r="A409" s="6">
        <v>46054</v>
      </c>
      <c r="B409" s="1" t="s">
        <v>18</v>
      </c>
      <c r="C409" s="1" t="s">
        <v>1198</v>
      </c>
      <c r="D409" s="1" t="s">
        <v>1206</v>
      </c>
      <c r="E409" s="1" t="s">
        <v>1207</v>
      </c>
      <c r="F409" s="1" t="s">
        <v>1208</v>
      </c>
      <c r="G409" s="1" t="s">
        <v>1201</v>
      </c>
      <c r="H409" s="1" t="s">
        <v>24</v>
      </c>
      <c r="I409" s="2">
        <v>15</v>
      </c>
      <c r="J409" s="2">
        <v>1990841</v>
      </c>
      <c r="K409" s="2">
        <v>30903</v>
      </c>
      <c r="L409" s="2">
        <v>0</v>
      </c>
      <c r="M409" s="2">
        <v>0</v>
      </c>
      <c r="N409" s="2">
        <v>2664</v>
      </c>
      <c r="O409" s="2">
        <v>2024408</v>
      </c>
      <c r="P409" s="1" t="s">
        <v>1202</v>
      </c>
      <c r="Q409" s="1" t="s">
        <v>35</v>
      </c>
      <c r="R409" s="1" t="s">
        <v>759</v>
      </c>
      <c r="S409" s="1">
        <v>0</v>
      </c>
      <c r="T409" s="1">
        <v>1</v>
      </c>
      <c r="U409" s="1">
        <f t="shared" si="33"/>
        <v>1</v>
      </c>
      <c r="V409" s="1">
        <v>0</v>
      </c>
      <c r="W409" s="1">
        <f t="shared" si="34"/>
        <v>1</v>
      </c>
      <c r="X409" s="5">
        <f t="shared" si="32"/>
        <v>0</v>
      </c>
    </row>
    <row r="410" spans="1:24" ht="15" customHeight="1">
      <c r="A410" s="6">
        <v>46054</v>
      </c>
      <c r="B410" s="1" t="s">
        <v>18</v>
      </c>
      <c r="C410" s="1" t="s">
        <v>1198</v>
      </c>
      <c r="D410" s="1" t="s">
        <v>1209</v>
      </c>
      <c r="E410" s="1" t="s">
        <v>169</v>
      </c>
      <c r="F410" s="1" t="s">
        <v>1201</v>
      </c>
      <c r="G410" s="1"/>
      <c r="H410" s="1" t="s">
        <v>24</v>
      </c>
      <c r="I410" s="2">
        <v>14</v>
      </c>
      <c r="J410" s="2">
        <v>4270733</v>
      </c>
      <c r="K410" s="2">
        <v>493307</v>
      </c>
      <c r="L410" s="2">
        <v>0</v>
      </c>
      <c r="M410" s="2">
        <v>0</v>
      </c>
      <c r="N410" s="2">
        <v>13654</v>
      </c>
      <c r="O410" s="2">
        <v>4777694</v>
      </c>
      <c r="P410" s="1" t="s">
        <v>1202</v>
      </c>
      <c r="Q410" s="1" t="s">
        <v>35</v>
      </c>
      <c r="R410" s="1" t="s">
        <v>66</v>
      </c>
      <c r="S410" s="1">
        <v>0</v>
      </c>
      <c r="T410" s="1">
        <v>1</v>
      </c>
      <c r="U410" s="1">
        <f t="shared" si="33"/>
        <v>1</v>
      </c>
      <c r="V410" s="1">
        <v>0</v>
      </c>
      <c r="W410" s="1">
        <f t="shared" si="34"/>
        <v>1</v>
      </c>
      <c r="X410" s="5">
        <f t="shared" si="32"/>
        <v>0</v>
      </c>
    </row>
    <row r="411" spans="1:24" ht="15" customHeight="1">
      <c r="A411" s="6">
        <v>46054</v>
      </c>
      <c r="B411" s="1" t="s">
        <v>18</v>
      </c>
      <c r="C411" s="1" t="s">
        <v>1198</v>
      </c>
      <c r="D411" s="1" t="s">
        <v>1210</v>
      </c>
      <c r="E411" s="1" t="s">
        <v>1211</v>
      </c>
      <c r="F411" s="1" t="s">
        <v>1212</v>
      </c>
      <c r="G411" s="1" t="s">
        <v>1201</v>
      </c>
      <c r="H411" s="1" t="s">
        <v>24</v>
      </c>
      <c r="I411" s="2">
        <v>13</v>
      </c>
      <c r="J411" s="2">
        <v>591186</v>
      </c>
      <c r="K411" s="2">
        <v>5812</v>
      </c>
      <c r="L411" s="2">
        <v>0</v>
      </c>
      <c r="M411" s="2">
        <v>0</v>
      </c>
      <c r="N411" s="2">
        <v>3148</v>
      </c>
      <c r="O411" s="2">
        <v>600146</v>
      </c>
      <c r="P411" s="1" t="s">
        <v>1213</v>
      </c>
      <c r="Q411" s="1" t="s">
        <v>35</v>
      </c>
      <c r="R411" s="1" t="s">
        <v>153</v>
      </c>
      <c r="S411" s="1">
        <v>0</v>
      </c>
      <c r="T411" s="1">
        <v>1</v>
      </c>
      <c r="U411" s="1">
        <f t="shared" si="33"/>
        <v>1</v>
      </c>
      <c r="V411" s="1">
        <v>0</v>
      </c>
      <c r="W411" s="1">
        <f t="shared" si="34"/>
        <v>1</v>
      </c>
      <c r="X411" s="5">
        <f t="shared" si="32"/>
        <v>0</v>
      </c>
    </row>
    <row r="412" spans="1:24" ht="15" customHeight="1">
      <c r="A412" s="6">
        <v>46054</v>
      </c>
      <c r="B412" s="1" t="s">
        <v>18</v>
      </c>
      <c r="C412" s="1" t="s">
        <v>1198</v>
      </c>
      <c r="D412" s="1" t="s">
        <v>1214</v>
      </c>
      <c r="E412" s="1" t="s">
        <v>1215</v>
      </c>
      <c r="F412" s="1" t="s">
        <v>1216</v>
      </c>
      <c r="G412" s="1" t="s">
        <v>1201</v>
      </c>
      <c r="H412" s="1" t="s">
        <v>60</v>
      </c>
      <c r="I412" s="2">
        <v>4.5</v>
      </c>
      <c r="J412" s="2">
        <v>678982</v>
      </c>
      <c r="K412" s="2">
        <v>25678</v>
      </c>
      <c r="L412" s="2">
        <v>0</v>
      </c>
      <c r="M412" s="2">
        <v>0</v>
      </c>
      <c r="N412" s="2">
        <v>1740</v>
      </c>
      <c r="O412" s="2">
        <v>706400</v>
      </c>
      <c r="P412" s="1" t="s">
        <v>1213</v>
      </c>
      <c r="Q412" s="1" t="s">
        <v>35</v>
      </c>
      <c r="R412" s="1" t="s">
        <v>153</v>
      </c>
      <c r="S412" s="1">
        <v>0</v>
      </c>
      <c r="T412" s="1">
        <v>1</v>
      </c>
      <c r="U412" s="1">
        <f t="shared" si="33"/>
        <v>1</v>
      </c>
      <c r="V412" s="1">
        <v>0</v>
      </c>
      <c r="W412" s="1">
        <f t="shared" si="34"/>
        <v>1</v>
      </c>
      <c r="X412" s="5">
        <f t="shared" si="32"/>
        <v>0</v>
      </c>
    </row>
    <row r="413" spans="1:24" ht="15" customHeight="1">
      <c r="A413" s="6">
        <v>46054</v>
      </c>
      <c r="B413" s="1" t="s">
        <v>18</v>
      </c>
      <c r="C413" s="1" t="s">
        <v>1198</v>
      </c>
      <c r="D413" s="1" t="s">
        <v>1217</v>
      </c>
      <c r="E413" s="1" t="s">
        <v>1218</v>
      </c>
      <c r="F413" s="1" t="s">
        <v>1201</v>
      </c>
      <c r="G413" s="1"/>
      <c r="H413" s="1" t="s">
        <v>128</v>
      </c>
      <c r="I413" s="2">
        <v>2.5</v>
      </c>
      <c r="J413" s="2">
        <v>-7924</v>
      </c>
      <c r="K413" s="2">
        <v>0</v>
      </c>
      <c r="L413" s="2">
        <v>0</v>
      </c>
      <c r="M413" s="2">
        <v>0</v>
      </c>
      <c r="N413" s="2">
        <v>0</v>
      </c>
      <c r="O413" s="2">
        <v>-7924</v>
      </c>
      <c r="P413" s="1" t="s">
        <v>1202</v>
      </c>
      <c r="Q413" s="1" t="s">
        <v>26</v>
      </c>
      <c r="R413" s="1" t="s">
        <v>66</v>
      </c>
      <c r="S413" s="1">
        <v>0</v>
      </c>
      <c r="T413" s="1">
        <v>0</v>
      </c>
      <c r="U413" s="1">
        <f t="shared" si="33"/>
        <v>0</v>
      </c>
      <c r="V413" s="1">
        <v>1</v>
      </c>
      <c r="W413" s="1">
        <f t="shared" si="34"/>
        <v>1</v>
      </c>
      <c r="X413" s="5" t="e">
        <f t="shared" si="32"/>
        <v>#DIV/0!</v>
      </c>
    </row>
    <row r="414" spans="1:24" ht="15" customHeight="1">
      <c r="A414" s="6">
        <v>46054</v>
      </c>
      <c r="B414" s="1" t="s">
        <v>18</v>
      </c>
      <c r="C414" s="1" t="s">
        <v>1198</v>
      </c>
      <c r="D414" s="1" t="s">
        <v>1219</v>
      </c>
      <c r="E414" s="1" t="s">
        <v>1220</v>
      </c>
      <c r="F414" s="1" t="s">
        <v>1201</v>
      </c>
      <c r="G414" s="1"/>
      <c r="H414" s="1" t="s">
        <v>128</v>
      </c>
      <c r="I414" s="2">
        <v>2.5</v>
      </c>
      <c r="J414" s="2">
        <v>-7775</v>
      </c>
      <c r="K414" s="2">
        <v>0</v>
      </c>
      <c r="L414" s="2">
        <v>0</v>
      </c>
      <c r="M414" s="2">
        <v>0</v>
      </c>
      <c r="N414" s="2">
        <v>0</v>
      </c>
      <c r="O414" s="2">
        <v>-7775</v>
      </c>
      <c r="P414" s="1" t="s">
        <v>1202</v>
      </c>
      <c r="Q414" s="1" t="s">
        <v>26</v>
      </c>
      <c r="R414" s="1" t="s">
        <v>66</v>
      </c>
      <c r="S414" s="1">
        <v>0</v>
      </c>
      <c r="T414" s="1">
        <v>0</v>
      </c>
      <c r="U414" s="1">
        <f t="shared" si="33"/>
        <v>0</v>
      </c>
      <c r="V414" s="1">
        <v>1</v>
      </c>
      <c r="W414" s="1">
        <f t="shared" si="34"/>
        <v>1</v>
      </c>
      <c r="X414" s="5" t="e">
        <f t="shared" si="32"/>
        <v>#DIV/0!</v>
      </c>
    </row>
    <row r="415" spans="1:24" ht="15" customHeight="1">
      <c r="A415" s="6">
        <v>46054</v>
      </c>
      <c r="B415" s="1" t="s">
        <v>18</v>
      </c>
      <c r="C415" s="1" t="s">
        <v>1198</v>
      </c>
      <c r="D415" s="1" t="s">
        <v>1221</v>
      </c>
      <c r="E415" s="1" t="s">
        <v>1222</v>
      </c>
      <c r="F415" s="1" t="s">
        <v>1223</v>
      </c>
      <c r="G415" s="1"/>
      <c r="H415" s="1" t="s">
        <v>128</v>
      </c>
      <c r="I415" s="2">
        <v>2.5</v>
      </c>
      <c r="J415" s="2">
        <v>-9679</v>
      </c>
      <c r="K415" s="2">
        <v>0</v>
      </c>
      <c r="L415" s="2">
        <v>0</v>
      </c>
      <c r="M415" s="2">
        <v>0</v>
      </c>
      <c r="N415" s="2">
        <v>0</v>
      </c>
      <c r="O415" s="2">
        <v>-9679</v>
      </c>
      <c r="P415" s="1" t="s">
        <v>1202</v>
      </c>
      <c r="Q415" s="1" t="s">
        <v>26</v>
      </c>
      <c r="R415" s="1" t="s">
        <v>66</v>
      </c>
      <c r="S415" s="1">
        <v>0</v>
      </c>
      <c r="T415" s="1">
        <v>0</v>
      </c>
      <c r="U415" s="1">
        <f t="shared" si="33"/>
        <v>0</v>
      </c>
      <c r="V415" s="1">
        <v>1</v>
      </c>
      <c r="W415" s="1">
        <f t="shared" si="34"/>
        <v>1</v>
      </c>
      <c r="X415" s="5" t="e">
        <f t="shared" si="32"/>
        <v>#DIV/0!</v>
      </c>
    </row>
    <row r="416" spans="1:24" ht="15" customHeight="1">
      <c r="A416" s="6">
        <v>46054</v>
      </c>
      <c r="B416" s="1" t="s">
        <v>18</v>
      </c>
      <c r="C416" s="1" t="s">
        <v>1198</v>
      </c>
      <c r="D416" s="1" t="s">
        <v>1224</v>
      </c>
      <c r="E416" s="1" t="s">
        <v>1225</v>
      </c>
      <c r="F416" s="1" t="s">
        <v>1201</v>
      </c>
      <c r="G416" s="1"/>
      <c r="H416" s="1" t="s">
        <v>128</v>
      </c>
      <c r="I416" s="2">
        <v>2.5</v>
      </c>
      <c r="J416" s="2">
        <v>-8832</v>
      </c>
      <c r="K416" s="2">
        <v>0</v>
      </c>
      <c r="L416" s="2">
        <v>0</v>
      </c>
      <c r="M416" s="2">
        <v>0</v>
      </c>
      <c r="N416" s="2">
        <v>0</v>
      </c>
      <c r="O416" s="2">
        <v>-8832</v>
      </c>
      <c r="P416" s="1" t="s">
        <v>1202</v>
      </c>
      <c r="Q416" s="1" t="s">
        <v>26</v>
      </c>
      <c r="R416" s="1" t="s">
        <v>66</v>
      </c>
      <c r="S416" s="1">
        <v>0</v>
      </c>
      <c r="T416" s="1">
        <v>0</v>
      </c>
      <c r="U416" s="1">
        <f t="shared" si="33"/>
        <v>0</v>
      </c>
      <c r="V416" s="1">
        <v>1</v>
      </c>
      <c r="W416" s="1">
        <f t="shared" si="34"/>
        <v>1</v>
      </c>
      <c r="X416" s="5" t="e">
        <f t="shared" si="32"/>
        <v>#DIV/0!</v>
      </c>
    </row>
    <row r="417" spans="1:24" ht="15" customHeight="1">
      <c r="A417" s="6">
        <v>46054</v>
      </c>
      <c r="B417" s="1" t="s">
        <v>18</v>
      </c>
      <c r="C417" s="1" t="s">
        <v>1198</v>
      </c>
      <c r="D417" s="1" t="s">
        <v>1226</v>
      </c>
      <c r="E417" s="1" t="s">
        <v>1227</v>
      </c>
      <c r="F417" s="1" t="s">
        <v>1201</v>
      </c>
      <c r="G417" s="1"/>
      <c r="H417" s="1" t="s">
        <v>128</v>
      </c>
      <c r="I417" s="2">
        <v>2.5</v>
      </c>
      <c r="J417" s="2">
        <v>-8439</v>
      </c>
      <c r="K417" s="2">
        <v>0</v>
      </c>
      <c r="L417" s="2">
        <v>0</v>
      </c>
      <c r="M417" s="2">
        <v>0</v>
      </c>
      <c r="N417" s="2">
        <v>0</v>
      </c>
      <c r="O417" s="2">
        <v>-8439</v>
      </c>
      <c r="P417" s="1" t="s">
        <v>1202</v>
      </c>
      <c r="Q417" s="1" t="s">
        <v>26</v>
      </c>
      <c r="R417" s="1" t="s">
        <v>66</v>
      </c>
      <c r="S417" s="1">
        <v>0</v>
      </c>
      <c r="T417" s="1">
        <v>0</v>
      </c>
      <c r="U417" s="1">
        <f t="shared" si="33"/>
        <v>0</v>
      </c>
      <c r="V417" s="1">
        <v>1</v>
      </c>
      <c r="W417" s="1">
        <f t="shared" si="34"/>
        <v>1</v>
      </c>
      <c r="X417" s="5" t="e">
        <f t="shared" si="32"/>
        <v>#DIV/0!</v>
      </c>
    </row>
    <row r="418" spans="1:24" ht="15" customHeight="1">
      <c r="A418" s="6">
        <v>46054</v>
      </c>
      <c r="B418" s="1" t="s">
        <v>18</v>
      </c>
      <c r="C418" s="1" t="s">
        <v>1198</v>
      </c>
      <c r="D418" s="1" t="s">
        <v>1228</v>
      </c>
      <c r="E418" s="1" t="s">
        <v>1229</v>
      </c>
      <c r="F418" s="1" t="s">
        <v>1201</v>
      </c>
      <c r="G418" s="1"/>
      <c r="H418" s="1" t="s">
        <v>128</v>
      </c>
      <c r="I418" s="2">
        <v>2.5</v>
      </c>
      <c r="J418" s="2">
        <v>-8634</v>
      </c>
      <c r="K418" s="2">
        <v>0</v>
      </c>
      <c r="L418" s="2">
        <v>0</v>
      </c>
      <c r="M418" s="2">
        <v>0</v>
      </c>
      <c r="N418" s="2">
        <v>0</v>
      </c>
      <c r="O418" s="2">
        <v>-8634</v>
      </c>
      <c r="P418" s="1" t="s">
        <v>1202</v>
      </c>
      <c r="Q418" s="1" t="s">
        <v>26</v>
      </c>
      <c r="R418" s="1" t="s">
        <v>66</v>
      </c>
      <c r="S418" s="1">
        <v>0</v>
      </c>
      <c r="T418" s="1">
        <v>0</v>
      </c>
      <c r="U418" s="1">
        <f t="shared" si="33"/>
        <v>0</v>
      </c>
      <c r="V418" s="1">
        <v>1</v>
      </c>
      <c r="W418" s="1">
        <f t="shared" si="34"/>
        <v>1</v>
      </c>
      <c r="X418" s="5" t="e">
        <f t="shared" si="32"/>
        <v>#DIV/0!</v>
      </c>
    </row>
    <row r="419" spans="1:24" ht="15" customHeight="1">
      <c r="A419" s="6">
        <v>46054</v>
      </c>
      <c r="B419" s="1" t="s">
        <v>18</v>
      </c>
      <c r="C419" s="1" t="s">
        <v>1198</v>
      </c>
      <c r="D419" s="1" t="s">
        <v>1230</v>
      </c>
      <c r="E419" s="1" t="s">
        <v>169</v>
      </c>
      <c r="F419" s="1"/>
      <c r="G419" s="1"/>
      <c r="H419" s="1" t="s">
        <v>24</v>
      </c>
      <c r="I419" s="2">
        <v>4.2699999999999996</v>
      </c>
      <c r="J419" s="2">
        <v>-8804</v>
      </c>
      <c r="K419" s="2">
        <v>0</v>
      </c>
      <c r="L419" s="2">
        <v>0</v>
      </c>
      <c r="M419" s="2">
        <v>0</v>
      </c>
      <c r="N419" s="2">
        <v>0</v>
      </c>
      <c r="O419" s="2">
        <v>-8804</v>
      </c>
      <c r="P419" s="1" t="s">
        <v>1202</v>
      </c>
      <c r="Q419" s="1" t="s">
        <v>26</v>
      </c>
      <c r="R419" s="1" t="s">
        <v>710</v>
      </c>
      <c r="S419" s="1">
        <v>0</v>
      </c>
      <c r="T419" s="1">
        <v>0</v>
      </c>
      <c r="U419" s="1">
        <f t="shared" si="33"/>
        <v>0</v>
      </c>
      <c r="V419" s="1">
        <v>1</v>
      </c>
      <c r="W419" s="1">
        <f t="shared" si="34"/>
        <v>1</v>
      </c>
      <c r="X419" s="5" t="e">
        <f t="shared" si="32"/>
        <v>#DIV/0!</v>
      </c>
    </row>
    <row r="420" spans="1:24" ht="15" customHeight="1">
      <c r="A420" s="6">
        <v>46054</v>
      </c>
      <c r="B420" s="1" t="s">
        <v>18</v>
      </c>
      <c r="C420" s="1" t="s">
        <v>1198</v>
      </c>
      <c r="D420" s="1" t="s">
        <v>1231</v>
      </c>
      <c r="E420" s="1" t="s">
        <v>1232</v>
      </c>
      <c r="F420" s="1" t="s">
        <v>1233</v>
      </c>
      <c r="G420" s="1" t="s">
        <v>1234</v>
      </c>
      <c r="H420" s="1" t="s">
        <v>24</v>
      </c>
      <c r="I420" s="2">
        <v>12</v>
      </c>
      <c r="J420" s="2">
        <v>25918732</v>
      </c>
      <c r="K420" s="2">
        <v>421005</v>
      </c>
      <c r="L420" s="2">
        <v>0</v>
      </c>
      <c r="M420" s="2">
        <v>0</v>
      </c>
      <c r="N420" s="2">
        <v>21766</v>
      </c>
      <c r="O420" s="2">
        <v>26361503</v>
      </c>
      <c r="P420" s="1" t="s">
        <v>1213</v>
      </c>
      <c r="Q420" s="1" t="s">
        <v>35</v>
      </c>
      <c r="R420" s="1" t="s">
        <v>27</v>
      </c>
      <c r="S420" s="1">
        <v>0</v>
      </c>
      <c r="T420" s="1">
        <v>1</v>
      </c>
      <c r="U420" s="1">
        <f t="shared" si="33"/>
        <v>1</v>
      </c>
      <c r="V420" s="1">
        <v>0</v>
      </c>
      <c r="W420" s="1">
        <f t="shared" si="34"/>
        <v>1</v>
      </c>
      <c r="X420" s="5">
        <f t="shared" si="32"/>
        <v>0</v>
      </c>
    </row>
    <row r="421" spans="1:24" ht="15" customHeight="1">
      <c r="A421" s="6">
        <v>46054</v>
      </c>
      <c r="B421" s="1" t="s">
        <v>18</v>
      </c>
      <c r="C421" s="1" t="s">
        <v>1198</v>
      </c>
      <c r="D421" s="1" t="s">
        <v>1235</v>
      </c>
      <c r="E421" s="1" t="s">
        <v>177</v>
      </c>
      <c r="F421" s="1" t="s">
        <v>1236</v>
      </c>
      <c r="G421" s="1" t="s">
        <v>1201</v>
      </c>
      <c r="H421" s="1" t="s">
        <v>24</v>
      </c>
      <c r="I421" s="2">
        <v>12</v>
      </c>
      <c r="J421" s="2">
        <v>24568546</v>
      </c>
      <c r="K421" s="2">
        <v>498245</v>
      </c>
      <c r="L421" s="2">
        <v>0</v>
      </c>
      <c r="M421" s="2">
        <v>0</v>
      </c>
      <c r="N421" s="2">
        <v>41186</v>
      </c>
      <c r="O421" s="2">
        <v>25107977</v>
      </c>
      <c r="P421" s="1" t="s">
        <v>1213</v>
      </c>
      <c r="Q421" s="1" t="s">
        <v>35</v>
      </c>
      <c r="R421" s="1" t="s">
        <v>27</v>
      </c>
      <c r="S421" s="1">
        <v>0</v>
      </c>
      <c r="T421" s="1">
        <v>1</v>
      </c>
      <c r="U421" s="1">
        <f t="shared" si="33"/>
        <v>1</v>
      </c>
      <c r="V421" s="1">
        <v>0</v>
      </c>
      <c r="W421" s="1">
        <f t="shared" si="34"/>
        <v>1</v>
      </c>
      <c r="X421" s="5">
        <f t="shared" si="32"/>
        <v>0</v>
      </c>
    </row>
    <row r="422" spans="1:24" ht="15" customHeight="1">
      <c r="A422" s="6">
        <v>46054</v>
      </c>
      <c r="B422" s="1" t="s">
        <v>49</v>
      </c>
      <c r="C422" s="1" t="s">
        <v>1198</v>
      </c>
      <c r="D422" s="1" t="s">
        <v>1237</v>
      </c>
      <c r="E422" s="1" t="s">
        <v>169</v>
      </c>
      <c r="F422" s="1" t="s">
        <v>1238</v>
      </c>
      <c r="G422" s="1" t="s">
        <v>1201</v>
      </c>
      <c r="H422" s="1" t="s">
        <v>54</v>
      </c>
      <c r="I422" s="2">
        <v>4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1" t="s">
        <v>1202</v>
      </c>
      <c r="Q422" s="1" t="s">
        <v>26</v>
      </c>
      <c r="R422" s="1" t="s">
        <v>55</v>
      </c>
      <c r="S422" s="1">
        <v>0</v>
      </c>
      <c r="T422" s="1">
        <v>0</v>
      </c>
      <c r="U422" s="1">
        <f t="shared" si="33"/>
        <v>0</v>
      </c>
      <c r="V422" s="1">
        <v>1</v>
      </c>
      <c r="W422" s="1">
        <f t="shared" si="34"/>
        <v>1</v>
      </c>
      <c r="X422" s="5" t="e">
        <f t="shared" si="32"/>
        <v>#DIV/0!</v>
      </c>
    </row>
    <row r="423" spans="1:24" ht="15" customHeight="1">
      <c r="A423" s="6">
        <v>46054</v>
      </c>
      <c r="B423" s="1" t="s">
        <v>49</v>
      </c>
      <c r="C423" s="1" t="s">
        <v>1198</v>
      </c>
      <c r="D423" s="1" t="s">
        <v>1239</v>
      </c>
      <c r="E423" s="1" t="s">
        <v>169</v>
      </c>
      <c r="F423" s="1" t="s">
        <v>1201</v>
      </c>
      <c r="G423" s="1" t="s">
        <v>1201</v>
      </c>
      <c r="H423" s="1" t="s">
        <v>54</v>
      </c>
      <c r="I423" s="2">
        <v>4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1" t="s">
        <v>1202</v>
      </c>
      <c r="Q423" s="1" t="s">
        <v>26</v>
      </c>
      <c r="R423" s="1" t="s">
        <v>55</v>
      </c>
      <c r="S423" s="1">
        <v>0</v>
      </c>
      <c r="T423" s="1">
        <v>0</v>
      </c>
      <c r="U423" s="1">
        <f t="shared" si="33"/>
        <v>0</v>
      </c>
      <c r="V423" s="1">
        <v>1</v>
      </c>
      <c r="W423" s="1">
        <f t="shared" si="34"/>
        <v>1</v>
      </c>
      <c r="X423" s="5" t="e">
        <f t="shared" si="32"/>
        <v>#DIV/0!</v>
      </c>
    </row>
    <row r="424" spans="1:24" ht="15" customHeight="1">
      <c r="A424" s="6">
        <v>46054</v>
      </c>
      <c r="B424" s="1" t="s">
        <v>49</v>
      </c>
      <c r="C424" s="1" t="s">
        <v>1198</v>
      </c>
      <c r="D424" s="1" t="s">
        <v>1240</v>
      </c>
      <c r="E424" s="1" t="s">
        <v>169</v>
      </c>
      <c r="F424" s="1" t="s">
        <v>1229</v>
      </c>
      <c r="G424" s="1" t="s">
        <v>1201</v>
      </c>
      <c r="H424" s="1" t="s">
        <v>54</v>
      </c>
      <c r="I424" s="2">
        <v>4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1" t="s">
        <v>1202</v>
      </c>
      <c r="Q424" s="1" t="s">
        <v>26</v>
      </c>
      <c r="R424" s="1" t="s">
        <v>55</v>
      </c>
      <c r="S424" s="1">
        <v>0</v>
      </c>
      <c r="T424" s="1">
        <v>0</v>
      </c>
      <c r="U424" s="1">
        <f t="shared" si="33"/>
        <v>0</v>
      </c>
      <c r="V424" s="1">
        <v>1</v>
      </c>
      <c r="W424" s="1">
        <f t="shared" si="34"/>
        <v>1</v>
      </c>
      <c r="X424" s="5" t="e">
        <f t="shared" si="32"/>
        <v>#DIV/0!</v>
      </c>
    </row>
    <row r="425" spans="1:24" ht="15" customHeight="1">
      <c r="A425" s="6">
        <v>46054</v>
      </c>
      <c r="B425" s="1" t="s">
        <v>49</v>
      </c>
      <c r="C425" s="1" t="s">
        <v>1198</v>
      </c>
      <c r="D425" s="1" t="s">
        <v>1241</v>
      </c>
      <c r="E425" s="1" t="s">
        <v>169</v>
      </c>
      <c r="F425" s="1" t="s">
        <v>1227</v>
      </c>
      <c r="G425" s="1" t="s">
        <v>1201</v>
      </c>
      <c r="H425" s="1" t="s">
        <v>54</v>
      </c>
      <c r="I425" s="2">
        <v>4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1" t="s">
        <v>1202</v>
      </c>
      <c r="Q425" s="1" t="s">
        <v>26</v>
      </c>
      <c r="R425" s="1" t="s">
        <v>55</v>
      </c>
      <c r="S425" s="1">
        <v>0</v>
      </c>
      <c r="T425" s="1">
        <v>0</v>
      </c>
      <c r="U425" s="1">
        <f t="shared" si="33"/>
        <v>0</v>
      </c>
      <c r="V425" s="1">
        <v>1</v>
      </c>
      <c r="W425" s="1">
        <f t="shared" si="34"/>
        <v>1</v>
      </c>
      <c r="X425" s="5" t="e">
        <f t="shared" si="32"/>
        <v>#DIV/0!</v>
      </c>
    </row>
    <row r="426" spans="1:24" ht="15" customHeight="1">
      <c r="A426" s="6">
        <v>46054</v>
      </c>
      <c r="B426" s="1" t="s">
        <v>49</v>
      </c>
      <c r="C426" s="1" t="s">
        <v>1198</v>
      </c>
      <c r="D426" s="1" t="s">
        <v>1242</v>
      </c>
      <c r="E426" s="1" t="s">
        <v>169</v>
      </c>
      <c r="F426" s="1" t="s">
        <v>1225</v>
      </c>
      <c r="G426" s="1" t="s">
        <v>1201</v>
      </c>
      <c r="H426" s="1" t="s">
        <v>54</v>
      </c>
      <c r="I426" s="2">
        <v>4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1" t="s">
        <v>1202</v>
      </c>
      <c r="Q426" s="1" t="s">
        <v>26</v>
      </c>
      <c r="R426" s="1" t="s">
        <v>55</v>
      </c>
      <c r="S426" s="1">
        <v>0</v>
      </c>
      <c r="T426" s="1">
        <v>0</v>
      </c>
      <c r="U426" s="1">
        <f t="shared" si="33"/>
        <v>0</v>
      </c>
      <c r="V426" s="1">
        <v>1</v>
      </c>
      <c r="W426" s="1">
        <f t="shared" si="34"/>
        <v>1</v>
      </c>
      <c r="X426" s="5" t="e">
        <f t="shared" si="32"/>
        <v>#DIV/0!</v>
      </c>
    </row>
    <row r="427" spans="1:24" ht="15" customHeight="1">
      <c r="A427" s="6">
        <v>46054</v>
      </c>
      <c r="B427" s="1" t="s">
        <v>49</v>
      </c>
      <c r="C427" s="1" t="s">
        <v>1198</v>
      </c>
      <c r="D427" s="1" t="s">
        <v>1243</v>
      </c>
      <c r="E427" s="1" t="s">
        <v>169</v>
      </c>
      <c r="F427" s="1" t="s">
        <v>1244</v>
      </c>
      <c r="G427" s="1" t="s">
        <v>1201</v>
      </c>
      <c r="H427" s="1" t="s">
        <v>54</v>
      </c>
      <c r="I427" s="2">
        <v>4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1" t="s">
        <v>1202</v>
      </c>
      <c r="Q427" s="1" t="s">
        <v>26</v>
      </c>
      <c r="R427" s="1" t="s">
        <v>55</v>
      </c>
      <c r="S427" s="1">
        <v>0</v>
      </c>
      <c r="T427" s="1">
        <v>0</v>
      </c>
      <c r="U427" s="1">
        <f t="shared" si="33"/>
        <v>0</v>
      </c>
      <c r="V427" s="1">
        <v>1</v>
      </c>
      <c r="W427" s="1">
        <f t="shared" si="34"/>
        <v>1</v>
      </c>
      <c r="X427" s="5" t="e">
        <f t="shared" si="32"/>
        <v>#DIV/0!</v>
      </c>
    </row>
    <row r="428" spans="1:24" ht="15" customHeight="1">
      <c r="A428" s="6">
        <v>46054</v>
      </c>
      <c r="B428" s="1" t="s">
        <v>49</v>
      </c>
      <c r="C428" s="1" t="s">
        <v>1198</v>
      </c>
      <c r="D428" s="1" t="s">
        <v>1245</v>
      </c>
      <c r="E428" s="1" t="s">
        <v>169</v>
      </c>
      <c r="F428" s="1" t="s">
        <v>1246</v>
      </c>
      <c r="G428" s="1" t="s">
        <v>1201</v>
      </c>
      <c r="H428" s="1" t="s">
        <v>54</v>
      </c>
      <c r="I428" s="2">
        <v>4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1" t="s">
        <v>1202</v>
      </c>
      <c r="Q428" s="1" t="s">
        <v>26</v>
      </c>
      <c r="R428" s="1" t="s">
        <v>55</v>
      </c>
      <c r="S428" s="1">
        <v>0</v>
      </c>
      <c r="T428" s="1">
        <v>0</v>
      </c>
      <c r="U428" s="1">
        <f t="shared" si="33"/>
        <v>0</v>
      </c>
      <c r="V428" s="1">
        <v>1</v>
      </c>
      <c r="W428" s="1">
        <f t="shared" si="34"/>
        <v>1</v>
      </c>
      <c r="X428" s="5" t="e">
        <f t="shared" si="32"/>
        <v>#DIV/0!</v>
      </c>
    </row>
    <row r="429" spans="1:24" ht="15" customHeight="1">
      <c r="A429" s="6">
        <v>46054</v>
      </c>
      <c r="B429" s="1" t="s">
        <v>49</v>
      </c>
      <c r="C429" s="1" t="s">
        <v>1198</v>
      </c>
      <c r="D429" s="1" t="s">
        <v>1247</v>
      </c>
      <c r="E429" s="1" t="s">
        <v>169</v>
      </c>
      <c r="F429" s="1" t="s">
        <v>1227</v>
      </c>
      <c r="G429" s="1" t="s">
        <v>1201</v>
      </c>
      <c r="H429" s="1" t="s">
        <v>54</v>
      </c>
      <c r="I429" s="2">
        <v>4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1" t="s">
        <v>1202</v>
      </c>
      <c r="Q429" s="1" t="s">
        <v>26</v>
      </c>
      <c r="R429" s="1" t="s">
        <v>55</v>
      </c>
      <c r="S429" s="1">
        <v>0</v>
      </c>
      <c r="T429" s="1">
        <v>0</v>
      </c>
      <c r="U429" s="1">
        <f t="shared" si="33"/>
        <v>0</v>
      </c>
      <c r="V429" s="1">
        <v>1</v>
      </c>
      <c r="W429" s="1">
        <f t="shared" si="34"/>
        <v>1</v>
      </c>
      <c r="X429" s="5" t="e">
        <f t="shared" si="32"/>
        <v>#DIV/0!</v>
      </c>
    </row>
    <row r="430" spans="1:24" ht="15" customHeight="1">
      <c r="A430" s="6">
        <v>46054</v>
      </c>
      <c r="B430" s="1" t="s">
        <v>61</v>
      </c>
      <c r="C430" s="1" t="s">
        <v>1198</v>
      </c>
      <c r="D430" s="1" t="s">
        <v>1248</v>
      </c>
      <c r="E430" s="1" t="s">
        <v>1249</v>
      </c>
      <c r="F430" s="1" t="s">
        <v>1201</v>
      </c>
      <c r="G430" s="1"/>
      <c r="H430" s="1" t="s">
        <v>24</v>
      </c>
      <c r="I430" s="2">
        <v>12</v>
      </c>
      <c r="J430" s="2">
        <v>1660874</v>
      </c>
      <c r="K430" s="2">
        <v>26587</v>
      </c>
      <c r="L430" s="2">
        <v>0</v>
      </c>
      <c r="M430" s="2">
        <v>0</v>
      </c>
      <c r="N430" s="2">
        <v>1121</v>
      </c>
      <c r="O430" s="2">
        <v>1688582</v>
      </c>
      <c r="P430" s="1" t="s">
        <v>1202</v>
      </c>
      <c r="Q430" s="1" t="s">
        <v>35</v>
      </c>
      <c r="R430" s="1" t="s">
        <v>66</v>
      </c>
      <c r="S430" s="1">
        <v>0</v>
      </c>
      <c r="T430" s="1">
        <v>1</v>
      </c>
      <c r="U430" s="1">
        <f t="shared" si="33"/>
        <v>1</v>
      </c>
      <c r="V430" s="1">
        <v>0</v>
      </c>
      <c r="W430" s="1">
        <f t="shared" si="34"/>
        <v>1</v>
      </c>
      <c r="X430" s="5">
        <f t="shared" si="32"/>
        <v>0</v>
      </c>
    </row>
    <row r="431" spans="1:24">
      <c r="A431" s="6">
        <v>46054</v>
      </c>
      <c r="B431" s="1" t="s">
        <v>61</v>
      </c>
      <c r="C431" s="1" t="s">
        <v>1198</v>
      </c>
      <c r="D431" s="1" t="s">
        <v>1250</v>
      </c>
      <c r="E431" s="1" t="s">
        <v>1251</v>
      </c>
      <c r="F431" s="1" t="s">
        <v>1252</v>
      </c>
      <c r="G431" s="1" t="s">
        <v>1201</v>
      </c>
      <c r="H431" s="1" t="s">
        <v>54</v>
      </c>
      <c r="I431" s="2">
        <v>18</v>
      </c>
      <c r="J431" s="2">
        <v>402596</v>
      </c>
      <c r="K431" s="2">
        <v>2498</v>
      </c>
      <c r="L431" s="2">
        <v>0</v>
      </c>
      <c r="M431" s="2">
        <v>0</v>
      </c>
      <c r="N431" s="2">
        <v>100</v>
      </c>
      <c r="O431" s="2">
        <v>405194</v>
      </c>
      <c r="P431" s="1" t="s">
        <v>25</v>
      </c>
      <c r="Q431" s="1" t="s">
        <v>35</v>
      </c>
      <c r="R431" s="1" t="s">
        <v>55</v>
      </c>
      <c r="S431" s="1">
        <v>0</v>
      </c>
      <c r="T431" s="1">
        <v>1</v>
      </c>
      <c r="U431" s="1">
        <f t="shared" si="33"/>
        <v>1</v>
      </c>
      <c r="V431" s="1">
        <v>0</v>
      </c>
      <c r="W431" s="1">
        <f t="shared" si="34"/>
        <v>1</v>
      </c>
      <c r="X431" s="5">
        <f t="shared" si="32"/>
        <v>0</v>
      </c>
    </row>
    <row r="432" spans="1:24">
      <c r="A432" s="6">
        <v>46054</v>
      </c>
      <c r="B432" s="1" t="s">
        <v>61</v>
      </c>
      <c r="C432" s="1" t="s">
        <v>1198</v>
      </c>
      <c r="D432" s="1" t="s">
        <v>1253</v>
      </c>
      <c r="E432" s="1" t="s">
        <v>1251</v>
      </c>
      <c r="F432" s="1" t="s">
        <v>1254</v>
      </c>
      <c r="G432" s="1" t="s">
        <v>1201</v>
      </c>
      <c r="H432" s="1" t="s">
        <v>54</v>
      </c>
      <c r="I432" s="2">
        <v>15</v>
      </c>
      <c r="J432" s="2">
        <v>337367</v>
      </c>
      <c r="K432" s="2">
        <v>2360</v>
      </c>
      <c r="L432" s="2">
        <v>0</v>
      </c>
      <c r="M432" s="2">
        <v>0</v>
      </c>
      <c r="N432" s="2">
        <v>100</v>
      </c>
      <c r="O432" s="2">
        <v>339827</v>
      </c>
      <c r="P432" s="1" t="s">
        <v>25</v>
      </c>
      <c r="Q432" s="1" t="s">
        <v>35</v>
      </c>
      <c r="R432" s="1" t="s">
        <v>55</v>
      </c>
      <c r="S432" s="1">
        <v>0</v>
      </c>
      <c r="T432" s="1">
        <v>1</v>
      </c>
      <c r="U432" s="1">
        <f t="shared" si="33"/>
        <v>1</v>
      </c>
      <c r="V432" s="1">
        <v>0</v>
      </c>
      <c r="W432" s="1">
        <f t="shared" si="34"/>
        <v>1</v>
      </c>
      <c r="X432" s="5">
        <f t="shared" si="32"/>
        <v>0</v>
      </c>
    </row>
    <row r="433" spans="1:24">
      <c r="A433" s="6">
        <v>46054</v>
      </c>
      <c r="B433" s="1" t="s">
        <v>61</v>
      </c>
      <c r="C433" s="1" t="s">
        <v>1198</v>
      </c>
      <c r="D433" s="1" t="s">
        <v>1255</v>
      </c>
      <c r="E433" s="1" t="s">
        <v>1251</v>
      </c>
      <c r="F433" s="1" t="s">
        <v>1256</v>
      </c>
      <c r="G433" s="1" t="s">
        <v>1201</v>
      </c>
      <c r="H433" s="1" t="s">
        <v>54</v>
      </c>
      <c r="I433" s="2">
        <v>16</v>
      </c>
      <c r="J433" s="2">
        <v>408955</v>
      </c>
      <c r="K433" s="2">
        <v>2360</v>
      </c>
      <c r="L433" s="2">
        <v>0</v>
      </c>
      <c r="M433" s="2">
        <v>0</v>
      </c>
      <c r="N433" s="2">
        <v>100</v>
      </c>
      <c r="O433" s="2">
        <v>411415</v>
      </c>
      <c r="P433" s="1" t="s">
        <v>25</v>
      </c>
      <c r="Q433" s="1" t="s">
        <v>35</v>
      </c>
      <c r="R433" s="1" t="s">
        <v>55</v>
      </c>
      <c r="S433" s="1">
        <v>0</v>
      </c>
      <c r="T433" s="1">
        <v>1</v>
      </c>
      <c r="U433" s="1">
        <f t="shared" si="33"/>
        <v>1</v>
      </c>
      <c r="V433" s="1">
        <v>0</v>
      </c>
      <c r="W433" s="1">
        <f t="shared" si="34"/>
        <v>1</v>
      </c>
      <c r="X433" s="5">
        <f t="shared" si="32"/>
        <v>0</v>
      </c>
    </row>
    <row r="434" spans="1:24">
      <c r="A434" s="6">
        <v>46054</v>
      </c>
      <c r="B434" s="1" t="s">
        <v>61</v>
      </c>
      <c r="C434" s="1" t="s">
        <v>1198</v>
      </c>
      <c r="D434" s="1" t="s">
        <v>1257</v>
      </c>
      <c r="E434" s="1" t="s">
        <v>1251</v>
      </c>
      <c r="F434" s="1" t="s">
        <v>1252</v>
      </c>
      <c r="G434" s="1" t="s">
        <v>1201</v>
      </c>
      <c r="H434" s="1" t="s">
        <v>54</v>
      </c>
      <c r="I434" s="2">
        <v>16</v>
      </c>
      <c r="J434" s="2">
        <v>310542</v>
      </c>
      <c r="K434" s="2">
        <v>2360</v>
      </c>
      <c r="L434" s="2">
        <v>0</v>
      </c>
      <c r="M434" s="2">
        <v>0</v>
      </c>
      <c r="N434" s="2">
        <v>100</v>
      </c>
      <c r="O434" s="2">
        <v>313002</v>
      </c>
      <c r="P434" s="1" t="s">
        <v>25</v>
      </c>
      <c r="Q434" s="1" t="s">
        <v>35</v>
      </c>
      <c r="R434" s="1" t="s">
        <v>55</v>
      </c>
      <c r="S434" s="1">
        <v>0</v>
      </c>
      <c r="T434" s="1">
        <v>1</v>
      </c>
      <c r="U434" s="1">
        <f t="shared" si="33"/>
        <v>1</v>
      </c>
      <c r="V434" s="1">
        <v>0</v>
      </c>
      <c r="W434" s="1">
        <f t="shared" si="34"/>
        <v>1</v>
      </c>
      <c r="X434" s="5">
        <f t="shared" si="32"/>
        <v>0</v>
      </c>
    </row>
    <row r="435" spans="1:24">
      <c r="A435" s="6">
        <v>46054</v>
      </c>
      <c r="B435" s="1" t="s">
        <v>61</v>
      </c>
      <c r="C435" s="1" t="s">
        <v>1198</v>
      </c>
      <c r="D435" s="1" t="s">
        <v>1258</v>
      </c>
      <c r="E435" s="1" t="s">
        <v>1251</v>
      </c>
      <c r="F435" s="1" t="s">
        <v>1252</v>
      </c>
      <c r="G435" s="1" t="s">
        <v>1201</v>
      </c>
      <c r="H435" s="1" t="s">
        <v>54</v>
      </c>
      <c r="I435" s="2">
        <v>16.75</v>
      </c>
      <c r="J435" s="2">
        <v>68502</v>
      </c>
      <c r="K435" s="2">
        <v>2360</v>
      </c>
      <c r="L435" s="2">
        <v>0</v>
      </c>
      <c r="M435" s="2">
        <v>0</v>
      </c>
      <c r="N435" s="2">
        <v>100</v>
      </c>
      <c r="O435" s="2">
        <v>70962</v>
      </c>
      <c r="P435" s="1" t="s">
        <v>25</v>
      </c>
      <c r="Q435" s="1" t="s">
        <v>35</v>
      </c>
      <c r="R435" s="1" t="s">
        <v>55</v>
      </c>
      <c r="S435" s="1">
        <v>0</v>
      </c>
      <c r="T435" s="1">
        <v>1</v>
      </c>
      <c r="U435" s="1">
        <f t="shared" si="33"/>
        <v>1</v>
      </c>
      <c r="V435" s="1">
        <v>0</v>
      </c>
      <c r="W435" s="1">
        <f t="shared" si="34"/>
        <v>1</v>
      </c>
      <c r="X435" s="5">
        <f t="shared" si="32"/>
        <v>0</v>
      </c>
    </row>
    <row r="436" spans="1:24" ht="15" customHeight="1">
      <c r="A436" s="6">
        <v>46054</v>
      </c>
      <c r="B436" s="1" t="s">
        <v>61</v>
      </c>
      <c r="C436" s="1" t="s">
        <v>1198</v>
      </c>
      <c r="D436" s="1" t="s">
        <v>1259</v>
      </c>
      <c r="E436" s="1" t="s">
        <v>1251</v>
      </c>
      <c r="F436" s="1" t="s">
        <v>1252</v>
      </c>
      <c r="G436" s="1" t="s">
        <v>1201</v>
      </c>
      <c r="H436" s="1" t="s">
        <v>54</v>
      </c>
      <c r="I436" s="2">
        <v>15</v>
      </c>
      <c r="J436" s="2">
        <v>46080</v>
      </c>
      <c r="K436" s="2">
        <v>2360</v>
      </c>
      <c r="L436" s="2">
        <v>0</v>
      </c>
      <c r="M436" s="2">
        <v>0</v>
      </c>
      <c r="N436" s="2">
        <v>100</v>
      </c>
      <c r="O436" s="2">
        <v>48540</v>
      </c>
      <c r="P436" s="1" t="s">
        <v>25</v>
      </c>
      <c r="Q436" s="1" t="s">
        <v>35</v>
      </c>
      <c r="R436" s="1" t="s">
        <v>55</v>
      </c>
      <c r="S436" s="1">
        <v>0</v>
      </c>
      <c r="T436" s="1">
        <v>1</v>
      </c>
      <c r="U436" s="1">
        <f t="shared" si="33"/>
        <v>1</v>
      </c>
      <c r="V436" s="1">
        <v>0</v>
      </c>
      <c r="W436" s="1">
        <f t="shared" si="34"/>
        <v>1</v>
      </c>
      <c r="X436" s="5">
        <f t="shared" si="32"/>
        <v>0</v>
      </c>
    </row>
    <row r="437" spans="1:24">
      <c r="A437" s="6">
        <v>46054</v>
      </c>
      <c r="B437" s="1" t="s">
        <v>61</v>
      </c>
      <c r="C437" s="1" t="s">
        <v>1198</v>
      </c>
      <c r="D437" s="1" t="s">
        <v>1260</v>
      </c>
      <c r="E437" s="1" t="s">
        <v>1261</v>
      </c>
      <c r="F437" s="1" t="s">
        <v>169</v>
      </c>
      <c r="G437" s="1" t="s">
        <v>1201</v>
      </c>
      <c r="H437" s="1" t="s">
        <v>54</v>
      </c>
      <c r="I437" s="2">
        <v>16.5</v>
      </c>
      <c r="J437" s="2">
        <v>1263562</v>
      </c>
      <c r="K437" s="2">
        <v>2360</v>
      </c>
      <c r="L437" s="2">
        <v>0</v>
      </c>
      <c r="M437" s="2">
        <v>0</v>
      </c>
      <c r="N437" s="2">
        <v>100</v>
      </c>
      <c r="O437" s="2">
        <v>1266022</v>
      </c>
      <c r="P437" s="1" t="s">
        <v>25</v>
      </c>
      <c r="Q437" s="1" t="s">
        <v>35</v>
      </c>
      <c r="R437" s="1" t="s">
        <v>55</v>
      </c>
      <c r="S437" s="1">
        <v>0</v>
      </c>
      <c r="T437" s="1">
        <v>1</v>
      </c>
      <c r="U437" s="1">
        <f t="shared" si="33"/>
        <v>1</v>
      </c>
      <c r="V437" s="1">
        <v>0</v>
      </c>
      <c r="W437" s="1">
        <f t="shared" si="34"/>
        <v>1</v>
      </c>
      <c r="X437" s="5">
        <f t="shared" si="32"/>
        <v>0</v>
      </c>
    </row>
    <row r="438" spans="1:24" ht="15" customHeight="1">
      <c r="A438" s="6">
        <v>46054</v>
      </c>
      <c r="B438" s="1" t="s">
        <v>61</v>
      </c>
      <c r="C438" s="1" t="s">
        <v>1198</v>
      </c>
      <c r="D438" s="1" t="s">
        <v>1262</v>
      </c>
      <c r="E438" s="1" t="s">
        <v>1261</v>
      </c>
      <c r="F438" s="1" t="s">
        <v>1263</v>
      </c>
      <c r="G438" s="1" t="s">
        <v>1201</v>
      </c>
      <c r="H438" s="1" t="s">
        <v>54</v>
      </c>
      <c r="I438" s="2">
        <v>19</v>
      </c>
      <c r="J438" s="2">
        <v>11644912</v>
      </c>
      <c r="K438" s="2">
        <v>2360</v>
      </c>
      <c r="L438" s="2">
        <v>0</v>
      </c>
      <c r="M438" s="2">
        <v>0</v>
      </c>
      <c r="N438" s="2">
        <v>100</v>
      </c>
      <c r="O438" s="2">
        <v>11647372</v>
      </c>
      <c r="P438" s="1" t="s">
        <v>25</v>
      </c>
      <c r="Q438" s="1" t="s">
        <v>35</v>
      </c>
      <c r="R438" s="1" t="s">
        <v>55</v>
      </c>
      <c r="S438" s="1">
        <v>0</v>
      </c>
      <c r="T438" s="1">
        <v>1</v>
      </c>
      <c r="U438" s="1">
        <f t="shared" si="33"/>
        <v>1</v>
      </c>
      <c r="V438" s="1">
        <v>0</v>
      </c>
      <c r="W438" s="1">
        <f t="shared" si="34"/>
        <v>1</v>
      </c>
      <c r="X438" s="5">
        <f t="shared" si="32"/>
        <v>0</v>
      </c>
    </row>
    <row r="439" spans="1:24">
      <c r="A439" s="6">
        <v>46054</v>
      </c>
      <c r="B439" s="1" t="s">
        <v>61</v>
      </c>
      <c r="C439" s="1" t="s">
        <v>1198</v>
      </c>
      <c r="D439" s="1" t="s">
        <v>1264</v>
      </c>
      <c r="E439" s="1" t="s">
        <v>1251</v>
      </c>
      <c r="F439" s="1" t="s">
        <v>1265</v>
      </c>
      <c r="G439" s="1" t="s">
        <v>1201</v>
      </c>
      <c r="H439" s="1" t="s">
        <v>54</v>
      </c>
      <c r="I439" s="2">
        <v>19.5</v>
      </c>
      <c r="J439" s="2">
        <v>2703570</v>
      </c>
      <c r="K439" s="2">
        <v>2360</v>
      </c>
      <c r="L439" s="2">
        <v>0</v>
      </c>
      <c r="M439" s="2">
        <v>0</v>
      </c>
      <c r="N439" s="2">
        <v>100</v>
      </c>
      <c r="O439" s="2">
        <v>2706030</v>
      </c>
      <c r="P439" s="1" t="s">
        <v>25</v>
      </c>
      <c r="Q439" s="1" t="s">
        <v>35</v>
      </c>
      <c r="R439" s="1" t="s">
        <v>55</v>
      </c>
      <c r="S439" s="1">
        <v>0</v>
      </c>
      <c r="T439" s="1">
        <v>1</v>
      </c>
      <c r="U439" s="1">
        <f t="shared" si="33"/>
        <v>1</v>
      </c>
      <c r="V439" s="1">
        <v>0</v>
      </c>
      <c r="W439" s="1">
        <f t="shared" si="34"/>
        <v>1</v>
      </c>
      <c r="X439" s="5">
        <f t="shared" si="32"/>
        <v>0</v>
      </c>
    </row>
    <row r="440" spans="1:24">
      <c r="A440" s="6">
        <v>46054</v>
      </c>
      <c r="B440" s="1" t="s">
        <v>61</v>
      </c>
      <c r="C440" s="1" t="s">
        <v>1198</v>
      </c>
      <c r="D440" s="1" t="s">
        <v>1266</v>
      </c>
      <c r="E440" s="1" t="s">
        <v>1251</v>
      </c>
      <c r="F440" s="1" t="s">
        <v>1252</v>
      </c>
      <c r="G440" s="1" t="s">
        <v>1201</v>
      </c>
      <c r="H440" s="1" t="s">
        <v>54</v>
      </c>
      <c r="I440" s="2">
        <v>18.5</v>
      </c>
      <c r="J440" s="2">
        <v>52692</v>
      </c>
      <c r="K440" s="2">
        <v>2360</v>
      </c>
      <c r="L440" s="2">
        <v>0</v>
      </c>
      <c r="M440" s="2">
        <v>0</v>
      </c>
      <c r="N440" s="2">
        <v>100</v>
      </c>
      <c r="O440" s="2">
        <v>55152</v>
      </c>
      <c r="P440" s="1" t="s">
        <v>25</v>
      </c>
      <c r="Q440" s="1" t="s">
        <v>35</v>
      </c>
      <c r="R440" s="1" t="s">
        <v>55</v>
      </c>
      <c r="S440" s="1">
        <v>0</v>
      </c>
      <c r="T440" s="1">
        <v>1</v>
      </c>
      <c r="U440" s="1">
        <f t="shared" si="33"/>
        <v>1</v>
      </c>
      <c r="V440" s="1">
        <v>0</v>
      </c>
      <c r="W440" s="1">
        <f t="shared" si="34"/>
        <v>1</v>
      </c>
      <c r="X440" s="5">
        <f t="shared" si="32"/>
        <v>0</v>
      </c>
    </row>
    <row r="441" spans="1:24" ht="15" customHeight="1">
      <c r="A441" s="6">
        <v>46054</v>
      </c>
      <c r="B441" s="1" t="s">
        <v>61</v>
      </c>
      <c r="C441" s="1" t="s">
        <v>1198</v>
      </c>
      <c r="D441" s="1" t="s">
        <v>1267</v>
      </c>
      <c r="E441" s="1" t="s">
        <v>1268</v>
      </c>
      <c r="F441" s="1" t="s">
        <v>169</v>
      </c>
      <c r="G441" s="1" t="s">
        <v>1269</v>
      </c>
      <c r="H441" s="1" t="s">
        <v>54</v>
      </c>
      <c r="I441" s="2">
        <v>6.8</v>
      </c>
      <c r="J441" s="2">
        <v>159870</v>
      </c>
      <c r="K441" s="2">
        <v>2437</v>
      </c>
      <c r="L441" s="2">
        <v>0</v>
      </c>
      <c r="M441" s="2">
        <v>0</v>
      </c>
      <c r="N441" s="2">
        <v>104</v>
      </c>
      <c r="O441" s="2">
        <v>162411</v>
      </c>
      <c r="P441" s="1" t="s">
        <v>1202</v>
      </c>
      <c r="Q441" s="1" t="s">
        <v>35</v>
      </c>
      <c r="R441" s="1" t="s">
        <v>66</v>
      </c>
      <c r="S441" s="1">
        <v>0</v>
      </c>
      <c r="T441" s="1">
        <v>1</v>
      </c>
      <c r="U441" s="1">
        <f t="shared" si="33"/>
        <v>1</v>
      </c>
      <c r="V441" s="1">
        <v>0</v>
      </c>
      <c r="W441" s="1">
        <f t="shared" si="34"/>
        <v>1</v>
      </c>
      <c r="X441" s="5">
        <f t="shared" si="32"/>
        <v>0</v>
      </c>
    </row>
    <row r="442" spans="1:24" ht="15" customHeight="1">
      <c r="A442" s="6">
        <v>46054</v>
      </c>
      <c r="B442" s="1" t="s">
        <v>61</v>
      </c>
      <c r="C442" s="1" t="s">
        <v>1198</v>
      </c>
      <c r="D442" s="1" t="s">
        <v>1270</v>
      </c>
      <c r="E442" s="1" t="s">
        <v>169</v>
      </c>
      <c r="F442" s="1" t="s">
        <v>1271</v>
      </c>
      <c r="G442" s="1" t="s">
        <v>1201</v>
      </c>
      <c r="H442" s="1" t="s">
        <v>54</v>
      </c>
      <c r="I442" s="2">
        <v>15</v>
      </c>
      <c r="J442" s="2">
        <v>220521</v>
      </c>
      <c r="K442" s="2">
        <v>0</v>
      </c>
      <c r="L442" s="2">
        <v>0</v>
      </c>
      <c r="M442" s="2">
        <v>0</v>
      </c>
      <c r="N442" s="2">
        <v>0</v>
      </c>
      <c r="O442" s="2">
        <v>220521</v>
      </c>
      <c r="P442" s="1" t="s">
        <v>1202</v>
      </c>
      <c r="Q442" s="1" t="s">
        <v>26</v>
      </c>
      <c r="R442" s="1" t="s">
        <v>66</v>
      </c>
      <c r="S442" s="1">
        <v>0</v>
      </c>
      <c r="T442" s="1">
        <v>0</v>
      </c>
      <c r="U442" s="1">
        <f t="shared" si="33"/>
        <v>0</v>
      </c>
      <c r="V442" s="1">
        <v>1</v>
      </c>
      <c r="W442" s="1">
        <f t="shared" si="34"/>
        <v>1</v>
      </c>
      <c r="X442" s="5" t="e">
        <f t="shared" si="32"/>
        <v>#DIV/0!</v>
      </c>
    </row>
    <row r="443" spans="1:24" ht="15" customHeight="1">
      <c r="A443" s="6">
        <v>46054</v>
      </c>
      <c r="B443" s="1" t="s">
        <v>61</v>
      </c>
      <c r="C443" s="1" t="s">
        <v>1198</v>
      </c>
      <c r="D443" s="1" t="s">
        <v>1272</v>
      </c>
      <c r="E443" s="1" t="s">
        <v>632</v>
      </c>
      <c r="F443" s="1" t="s">
        <v>1273</v>
      </c>
      <c r="G443" s="1" t="s">
        <v>1274</v>
      </c>
      <c r="H443" s="1" t="s">
        <v>54</v>
      </c>
      <c r="I443" s="2">
        <v>6.8</v>
      </c>
      <c r="J443" s="2">
        <v>69611</v>
      </c>
      <c r="K443" s="2">
        <v>2360</v>
      </c>
      <c r="L443" s="2">
        <v>0</v>
      </c>
      <c r="M443" s="2">
        <v>0</v>
      </c>
      <c r="N443" s="2">
        <v>100</v>
      </c>
      <c r="O443" s="2">
        <v>72071</v>
      </c>
      <c r="P443" s="1" t="s">
        <v>1202</v>
      </c>
      <c r="Q443" s="1" t="s">
        <v>35</v>
      </c>
      <c r="R443" s="1" t="s">
        <v>66</v>
      </c>
      <c r="S443" s="1">
        <v>0</v>
      </c>
      <c r="T443" s="1">
        <v>1</v>
      </c>
      <c r="U443" s="1">
        <f t="shared" si="33"/>
        <v>1</v>
      </c>
      <c r="V443" s="1">
        <v>0</v>
      </c>
      <c r="W443" s="1">
        <f t="shared" si="34"/>
        <v>1</v>
      </c>
      <c r="X443" s="5">
        <f t="shared" si="32"/>
        <v>0</v>
      </c>
    </row>
    <row r="444" spans="1:24" ht="15" customHeight="1">
      <c r="A444" s="6">
        <v>46054</v>
      </c>
      <c r="B444" s="1" t="s">
        <v>61</v>
      </c>
      <c r="C444" s="1" t="s">
        <v>1198</v>
      </c>
      <c r="D444" s="1" t="s">
        <v>1275</v>
      </c>
      <c r="E444" s="1" t="s">
        <v>1276</v>
      </c>
      <c r="F444" s="1" t="s">
        <v>1277</v>
      </c>
      <c r="G444" s="1" t="s">
        <v>1201</v>
      </c>
      <c r="H444" s="1" t="s">
        <v>24</v>
      </c>
      <c r="I444" s="2">
        <v>14.98</v>
      </c>
      <c r="J444" s="2">
        <v>3074435</v>
      </c>
      <c r="K444" s="2">
        <v>18122</v>
      </c>
      <c r="L444" s="2">
        <v>0</v>
      </c>
      <c r="M444" s="2">
        <v>0</v>
      </c>
      <c r="N444" s="2">
        <v>762</v>
      </c>
      <c r="O444" s="2">
        <v>3093319</v>
      </c>
      <c r="P444" s="1" t="s">
        <v>1213</v>
      </c>
      <c r="Q444" s="1" t="s">
        <v>35</v>
      </c>
      <c r="R444" s="1" t="s">
        <v>1278</v>
      </c>
      <c r="S444" s="1">
        <v>0</v>
      </c>
      <c r="T444" s="1">
        <v>1</v>
      </c>
      <c r="U444" s="1">
        <f t="shared" si="33"/>
        <v>1</v>
      </c>
      <c r="V444" s="1">
        <v>0</v>
      </c>
      <c r="W444" s="1">
        <f t="shared" si="34"/>
        <v>1</v>
      </c>
      <c r="X444" s="5">
        <f t="shared" si="32"/>
        <v>0</v>
      </c>
    </row>
    <row r="445" spans="1:24" ht="15" customHeight="1">
      <c r="A445" s="6">
        <v>46054</v>
      </c>
      <c r="B445" s="1" t="s">
        <v>18</v>
      </c>
      <c r="C445" s="1" t="s">
        <v>1279</v>
      </c>
      <c r="D445" s="1" t="s">
        <v>1280</v>
      </c>
      <c r="E445" s="1" t="s">
        <v>1281</v>
      </c>
      <c r="F445" s="1" t="s">
        <v>1282</v>
      </c>
      <c r="G445" s="1"/>
      <c r="H445" s="1" t="s">
        <v>60</v>
      </c>
      <c r="I445" s="2">
        <v>8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1" t="s">
        <v>1283</v>
      </c>
      <c r="Q445" s="1" t="s">
        <v>26</v>
      </c>
      <c r="R445" s="1" t="s">
        <v>1278</v>
      </c>
      <c r="S445" s="1">
        <v>0</v>
      </c>
      <c r="T445" s="1">
        <v>0</v>
      </c>
      <c r="U445" s="1">
        <f t="shared" si="33"/>
        <v>0</v>
      </c>
      <c r="V445" s="1">
        <v>1</v>
      </c>
      <c r="W445" s="1">
        <f t="shared" si="34"/>
        <v>1</v>
      </c>
      <c r="X445" s="5" t="e">
        <f t="shared" si="32"/>
        <v>#DIV/0!</v>
      </c>
    </row>
    <row r="446" spans="1:24" ht="15" customHeight="1">
      <c r="A446" s="6">
        <v>46054</v>
      </c>
      <c r="B446" s="1" t="s">
        <v>18</v>
      </c>
      <c r="C446" s="1" t="s">
        <v>1279</v>
      </c>
      <c r="D446" s="1" t="s">
        <v>1284</v>
      </c>
      <c r="E446" s="1" t="s">
        <v>169</v>
      </c>
      <c r="F446" s="1" t="s">
        <v>1285</v>
      </c>
      <c r="G446" s="1" t="s">
        <v>944</v>
      </c>
      <c r="H446" s="1" t="s">
        <v>128</v>
      </c>
      <c r="I446" s="2">
        <v>8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1" t="s">
        <v>1283</v>
      </c>
      <c r="Q446" s="1" t="s">
        <v>26</v>
      </c>
      <c r="R446" s="1" t="s">
        <v>44</v>
      </c>
      <c r="S446" s="1">
        <v>0</v>
      </c>
      <c r="T446" s="1">
        <v>0</v>
      </c>
      <c r="U446" s="1">
        <f t="shared" si="33"/>
        <v>0</v>
      </c>
      <c r="V446" s="1">
        <v>1</v>
      </c>
      <c r="W446" s="1">
        <f t="shared" si="34"/>
        <v>1</v>
      </c>
      <c r="X446" s="5" t="e">
        <f t="shared" si="32"/>
        <v>#DIV/0!</v>
      </c>
    </row>
    <row r="447" spans="1:24">
      <c r="A447" s="6">
        <v>46054</v>
      </c>
      <c r="B447" s="1" t="s">
        <v>18</v>
      </c>
      <c r="C447" s="1" t="s">
        <v>1279</v>
      </c>
      <c r="D447" s="1" t="s">
        <v>1286</v>
      </c>
      <c r="E447" s="1" t="s">
        <v>1287</v>
      </c>
      <c r="F447" s="1" t="s">
        <v>1288</v>
      </c>
      <c r="G447" s="1" t="s">
        <v>1289</v>
      </c>
      <c r="H447" s="1" t="s">
        <v>24</v>
      </c>
      <c r="I447" s="2">
        <v>8</v>
      </c>
      <c r="J447" s="2">
        <v>359125</v>
      </c>
      <c r="K447" s="2">
        <v>1180</v>
      </c>
      <c r="L447" s="2">
        <v>0</v>
      </c>
      <c r="M447" s="2">
        <v>0</v>
      </c>
      <c r="N447" s="2">
        <v>100</v>
      </c>
      <c r="O447" s="2">
        <v>360405</v>
      </c>
      <c r="P447" s="1" t="s">
        <v>938</v>
      </c>
      <c r="Q447" s="1" t="s">
        <v>35</v>
      </c>
      <c r="R447" s="1" t="s">
        <v>27</v>
      </c>
      <c r="S447" s="1">
        <v>0</v>
      </c>
      <c r="T447" s="1">
        <v>1</v>
      </c>
      <c r="U447" s="1">
        <f t="shared" si="33"/>
        <v>1</v>
      </c>
      <c r="V447" s="1">
        <v>0</v>
      </c>
      <c r="W447" s="1">
        <f t="shared" si="34"/>
        <v>1</v>
      </c>
      <c r="X447" s="5">
        <f t="shared" si="32"/>
        <v>0</v>
      </c>
    </row>
    <row r="448" spans="1:24" ht="15" customHeight="1">
      <c r="A448" s="6">
        <v>46054</v>
      </c>
      <c r="B448" s="1" t="s">
        <v>18</v>
      </c>
      <c r="C448" s="1" t="s">
        <v>1279</v>
      </c>
      <c r="D448" s="1" t="s">
        <v>1290</v>
      </c>
      <c r="E448" s="1" t="s">
        <v>1207</v>
      </c>
      <c r="F448" s="1" t="s">
        <v>1285</v>
      </c>
      <c r="G448" s="1" t="s">
        <v>944</v>
      </c>
      <c r="H448" s="1" t="s">
        <v>24</v>
      </c>
      <c r="I448" s="2">
        <v>12</v>
      </c>
      <c r="J448" s="2">
        <v>229397</v>
      </c>
      <c r="K448" s="2">
        <v>1180</v>
      </c>
      <c r="L448" s="2">
        <v>0</v>
      </c>
      <c r="M448" s="2">
        <v>0</v>
      </c>
      <c r="N448" s="2">
        <v>100</v>
      </c>
      <c r="O448" s="2">
        <v>230677</v>
      </c>
      <c r="P448" s="1" t="s">
        <v>938</v>
      </c>
      <c r="Q448" s="1" t="s">
        <v>35</v>
      </c>
      <c r="R448" s="1" t="s">
        <v>759</v>
      </c>
      <c r="S448" s="1">
        <v>1</v>
      </c>
      <c r="T448" s="1">
        <v>0</v>
      </c>
      <c r="U448" s="1">
        <f t="shared" si="33"/>
        <v>1</v>
      </c>
      <c r="V448" s="1">
        <v>0</v>
      </c>
      <c r="W448" s="1">
        <f t="shared" si="34"/>
        <v>1</v>
      </c>
      <c r="X448" s="5">
        <f t="shared" si="32"/>
        <v>100</v>
      </c>
    </row>
    <row r="449" spans="1:24" ht="15" customHeight="1">
      <c r="A449" s="6">
        <v>46054</v>
      </c>
      <c r="B449" s="1" t="s">
        <v>18</v>
      </c>
      <c r="C449" s="1" t="s">
        <v>1279</v>
      </c>
      <c r="D449" s="1" t="s">
        <v>1291</v>
      </c>
      <c r="E449" s="1" t="s">
        <v>1292</v>
      </c>
      <c r="F449" s="1" t="s">
        <v>1293</v>
      </c>
      <c r="G449" s="1" t="s">
        <v>944</v>
      </c>
      <c r="H449" s="1" t="s">
        <v>24</v>
      </c>
      <c r="I449" s="2">
        <v>12</v>
      </c>
      <c r="J449" s="2">
        <v>132795</v>
      </c>
      <c r="K449" s="2">
        <v>1995</v>
      </c>
      <c r="L449" s="2">
        <v>0</v>
      </c>
      <c r="M449" s="2">
        <v>0</v>
      </c>
      <c r="N449" s="2">
        <v>100</v>
      </c>
      <c r="O449" s="2">
        <v>134890</v>
      </c>
      <c r="P449" s="1" t="s">
        <v>938</v>
      </c>
      <c r="Q449" s="1" t="s">
        <v>35</v>
      </c>
      <c r="R449" s="1" t="s">
        <v>153</v>
      </c>
      <c r="S449" s="1">
        <v>0</v>
      </c>
      <c r="T449" s="1">
        <v>1</v>
      </c>
      <c r="U449" s="1">
        <f t="shared" si="33"/>
        <v>1</v>
      </c>
      <c r="V449" s="1">
        <v>0</v>
      </c>
      <c r="W449" s="1">
        <f t="shared" si="34"/>
        <v>1</v>
      </c>
      <c r="X449" s="5">
        <f t="shared" ref="X449:X478" si="35">100/U449*S449</f>
        <v>0</v>
      </c>
    </row>
    <row r="450" spans="1:24" ht="15" customHeight="1">
      <c r="A450" s="6">
        <v>46054</v>
      </c>
      <c r="B450" s="1" t="s">
        <v>49</v>
      </c>
      <c r="C450" s="1" t="s">
        <v>1279</v>
      </c>
      <c r="D450" s="1" t="s">
        <v>1294</v>
      </c>
      <c r="E450" s="1" t="s">
        <v>169</v>
      </c>
      <c r="F450" s="1" t="s">
        <v>944</v>
      </c>
      <c r="G450" s="1" t="s">
        <v>944</v>
      </c>
      <c r="H450" s="1" t="s">
        <v>54</v>
      </c>
      <c r="I450" s="2">
        <v>4</v>
      </c>
      <c r="J450" s="2">
        <v>-69006</v>
      </c>
      <c r="K450" s="2">
        <v>0</v>
      </c>
      <c r="L450" s="2">
        <v>0</v>
      </c>
      <c r="M450" s="2">
        <v>0</v>
      </c>
      <c r="N450" s="2">
        <v>0</v>
      </c>
      <c r="O450" s="2">
        <v>-69006</v>
      </c>
      <c r="P450" s="1" t="s">
        <v>1283</v>
      </c>
      <c r="Q450" s="1" t="s">
        <v>26</v>
      </c>
      <c r="R450" s="1" t="s">
        <v>55</v>
      </c>
      <c r="S450" s="1">
        <v>0</v>
      </c>
      <c r="T450" s="1">
        <v>0</v>
      </c>
      <c r="U450" s="1">
        <f t="shared" ref="U450" si="36">T450+S450</f>
        <v>0</v>
      </c>
      <c r="V450" s="1">
        <v>1</v>
      </c>
      <c r="W450" s="1">
        <f t="shared" ref="W450:W478" si="37">V450+U450</f>
        <v>1</v>
      </c>
      <c r="X450" s="5" t="e">
        <f t="shared" si="35"/>
        <v>#DIV/0!</v>
      </c>
    </row>
    <row r="451" spans="1:24" ht="15" customHeight="1">
      <c r="A451" s="6">
        <v>46054</v>
      </c>
      <c r="B451" s="1" t="s">
        <v>61</v>
      </c>
      <c r="C451" s="1" t="s">
        <v>1279</v>
      </c>
      <c r="D451" s="1" t="s">
        <v>1295</v>
      </c>
      <c r="E451" s="1" t="s">
        <v>1296</v>
      </c>
      <c r="F451" s="1" t="s">
        <v>1297</v>
      </c>
      <c r="G451" s="1" t="s">
        <v>1289</v>
      </c>
      <c r="H451" s="1" t="s">
        <v>24</v>
      </c>
      <c r="I451" s="2">
        <v>6.72</v>
      </c>
      <c r="J451" s="2">
        <v>302956</v>
      </c>
      <c r="K451" s="2">
        <v>1180</v>
      </c>
      <c r="L451" s="2">
        <v>0</v>
      </c>
      <c r="M451" s="2">
        <v>0</v>
      </c>
      <c r="N451" s="2">
        <v>50</v>
      </c>
      <c r="O451" s="2">
        <v>304186</v>
      </c>
      <c r="P451" s="1" t="s">
        <v>1283</v>
      </c>
      <c r="Q451" s="1" t="s">
        <v>35</v>
      </c>
      <c r="R451" s="1" t="s">
        <v>153</v>
      </c>
      <c r="S451" s="1">
        <v>0</v>
      </c>
      <c r="T451" s="1">
        <v>1</v>
      </c>
      <c r="U451" s="1">
        <f t="shared" ref="U451:U484" si="38">T451+S451</f>
        <v>1</v>
      </c>
      <c r="V451" s="1">
        <v>0</v>
      </c>
      <c r="W451" s="1">
        <f t="shared" si="37"/>
        <v>1</v>
      </c>
      <c r="X451" s="5">
        <f t="shared" si="35"/>
        <v>0</v>
      </c>
    </row>
    <row r="452" spans="1:24" ht="15" customHeight="1">
      <c r="A452" s="6">
        <v>46054</v>
      </c>
      <c r="B452" s="1" t="s">
        <v>18</v>
      </c>
      <c r="C452" s="1" t="s">
        <v>1298</v>
      </c>
      <c r="D452" s="1" t="s">
        <v>1299</v>
      </c>
      <c r="E452" s="1" t="s">
        <v>1300</v>
      </c>
      <c r="F452" s="1" t="s">
        <v>1301</v>
      </c>
      <c r="G452" s="1" t="s">
        <v>1302</v>
      </c>
      <c r="H452" s="1" t="s">
        <v>54</v>
      </c>
      <c r="I452" s="2">
        <v>2</v>
      </c>
      <c r="J452" s="2">
        <v>12890</v>
      </c>
      <c r="K452" s="2">
        <v>0</v>
      </c>
      <c r="L452" s="2">
        <v>0</v>
      </c>
      <c r="M452" s="2">
        <v>0</v>
      </c>
      <c r="N452" s="2">
        <v>0</v>
      </c>
      <c r="O452" s="2">
        <v>12890</v>
      </c>
      <c r="P452" s="1" t="s">
        <v>1303</v>
      </c>
      <c r="Q452" s="1" t="s">
        <v>26</v>
      </c>
      <c r="R452" s="1" t="s">
        <v>1304</v>
      </c>
      <c r="S452" s="1">
        <v>0</v>
      </c>
      <c r="T452" s="1">
        <v>0</v>
      </c>
      <c r="U452" s="1">
        <f t="shared" si="38"/>
        <v>0</v>
      </c>
      <c r="V452" s="1">
        <v>1</v>
      </c>
      <c r="W452" s="1">
        <f t="shared" si="37"/>
        <v>1</v>
      </c>
      <c r="X452" s="5" t="e">
        <f t="shared" si="35"/>
        <v>#DIV/0!</v>
      </c>
    </row>
    <row r="453" spans="1:24" ht="15" customHeight="1">
      <c r="A453" s="6">
        <v>46054</v>
      </c>
      <c r="B453" s="1" t="s">
        <v>18</v>
      </c>
      <c r="C453" s="1" t="s">
        <v>1298</v>
      </c>
      <c r="D453" s="1" t="s">
        <v>1305</v>
      </c>
      <c r="E453" s="1" t="s">
        <v>1306</v>
      </c>
      <c r="F453" s="1" t="s">
        <v>1307</v>
      </c>
      <c r="G453" s="1" t="s">
        <v>1308</v>
      </c>
      <c r="H453" s="1" t="s">
        <v>24</v>
      </c>
      <c r="I453" s="2">
        <v>15</v>
      </c>
      <c r="J453" s="2">
        <v>40214460</v>
      </c>
      <c r="K453" s="2">
        <v>1386</v>
      </c>
      <c r="L453" s="2">
        <v>0</v>
      </c>
      <c r="M453" s="2">
        <v>0</v>
      </c>
      <c r="N453" s="2">
        <v>3636</v>
      </c>
      <c r="O453" s="2">
        <v>40219482</v>
      </c>
      <c r="P453" s="1" t="s">
        <v>1303</v>
      </c>
      <c r="Q453" s="1" t="s">
        <v>35</v>
      </c>
      <c r="R453" s="1" t="s">
        <v>27</v>
      </c>
      <c r="S453" s="1">
        <v>1</v>
      </c>
      <c r="T453" s="1">
        <v>0</v>
      </c>
      <c r="U453" s="1">
        <f t="shared" si="38"/>
        <v>1</v>
      </c>
      <c r="V453" s="1">
        <v>0</v>
      </c>
      <c r="W453" s="1">
        <f t="shared" si="37"/>
        <v>1</v>
      </c>
      <c r="X453" s="5">
        <f t="shared" si="35"/>
        <v>100</v>
      </c>
    </row>
    <row r="454" spans="1:24" ht="15" customHeight="1">
      <c r="A454" s="6">
        <v>46054</v>
      </c>
      <c r="B454" s="1" t="s">
        <v>18</v>
      </c>
      <c r="C454" s="1" t="s">
        <v>1298</v>
      </c>
      <c r="D454" s="1" t="s">
        <v>1309</v>
      </c>
      <c r="E454" s="1" t="s">
        <v>1300</v>
      </c>
      <c r="F454" s="1" t="s">
        <v>1310</v>
      </c>
      <c r="G454" s="1" t="s">
        <v>1302</v>
      </c>
      <c r="H454" s="1" t="s">
        <v>54</v>
      </c>
      <c r="I454" s="2">
        <v>2</v>
      </c>
      <c r="J454" s="2">
        <v>46318</v>
      </c>
      <c r="K454" s="2">
        <v>2360</v>
      </c>
      <c r="L454" s="2">
        <v>0</v>
      </c>
      <c r="M454" s="2">
        <v>0</v>
      </c>
      <c r="N454" s="2">
        <v>246</v>
      </c>
      <c r="O454" s="2">
        <v>48924</v>
      </c>
      <c r="P454" s="1" t="s">
        <v>1303</v>
      </c>
      <c r="Q454" s="1" t="s">
        <v>35</v>
      </c>
      <c r="R454" s="1" t="s">
        <v>1304</v>
      </c>
      <c r="S454" s="1">
        <v>1</v>
      </c>
      <c r="T454" s="1">
        <v>0</v>
      </c>
      <c r="U454" s="1">
        <f t="shared" si="38"/>
        <v>1</v>
      </c>
      <c r="V454" s="1">
        <v>0</v>
      </c>
      <c r="W454" s="1">
        <f t="shared" si="37"/>
        <v>1</v>
      </c>
      <c r="X454" s="5">
        <f t="shared" si="35"/>
        <v>100</v>
      </c>
    </row>
    <row r="455" spans="1:24" ht="15" customHeight="1">
      <c r="A455" s="6">
        <v>46054</v>
      </c>
      <c r="B455" s="1" t="s">
        <v>18</v>
      </c>
      <c r="C455" s="1" t="s">
        <v>1298</v>
      </c>
      <c r="D455" s="1" t="s">
        <v>1311</v>
      </c>
      <c r="E455" s="1" t="s">
        <v>1312</v>
      </c>
      <c r="F455" s="1" t="s">
        <v>1313</v>
      </c>
      <c r="G455" s="1" t="s">
        <v>1313</v>
      </c>
      <c r="H455" s="1" t="s">
        <v>24</v>
      </c>
      <c r="I455" s="2">
        <v>10</v>
      </c>
      <c r="J455" s="2">
        <v>20535495</v>
      </c>
      <c r="K455" s="2">
        <v>0</v>
      </c>
      <c r="L455" s="2">
        <v>0</v>
      </c>
      <c r="M455" s="2">
        <v>0</v>
      </c>
      <c r="N455" s="2">
        <v>0</v>
      </c>
      <c r="O455" s="2">
        <v>20535495</v>
      </c>
      <c r="P455" s="1" t="s">
        <v>1314</v>
      </c>
      <c r="Q455" s="1" t="s">
        <v>26</v>
      </c>
      <c r="R455" s="1" t="s">
        <v>153</v>
      </c>
      <c r="S455" s="1">
        <v>0</v>
      </c>
      <c r="T455" s="1">
        <v>0</v>
      </c>
      <c r="U455" s="1">
        <f t="shared" si="38"/>
        <v>0</v>
      </c>
      <c r="V455" s="1">
        <v>1</v>
      </c>
      <c r="W455" s="1">
        <f t="shared" si="37"/>
        <v>1</v>
      </c>
      <c r="X455" s="5" t="e">
        <f t="shared" si="35"/>
        <v>#DIV/0!</v>
      </c>
    </row>
    <row r="456" spans="1:24" ht="15" customHeight="1">
      <c r="A456" s="6">
        <v>46054</v>
      </c>
      <c r="B456" s="1" t="s">
        <v>18</v>
      </c>
      <c r="C456" s="1" t="s">
        <v>1298</v>
      </c>
      <c r="D456" s="1" t="s">
        <v>1315</v>
      </c>
      <c r="E456" s="1" t="s">
        <v>1316</v>
      </c>
      <c r="F456" s="1" t="s">
        <v>1317</v>
      </c>
      <c r="G456" s="1" t="s">
        <v>1317</v>
      </c>
      <c r="H456" s="1" t="s">
        <v>24</v>
      </c>
      <c r="I456" s="2">
        <v>12</v>
      </c>
      <c r="J456" s="2">
        <v>28164368</v>
      </c>
      <c r="K456" s="2">
        <v>0</v>
      </c>
      <c r="L456" s="2">
        <v>0</v>
      </c>
      <c r="M456" s="2">
        <v>0</v>
      </c>
      <c r="N456" s="2">
        <v>0</v>
      </c>
      <c r="O456" s="2">
        <v>28164368</v>
      </c>
      <c r="P456" s="1" t="s">
        <v>1314</v>
      </c>
      <c r="Q456" s="1" t="s">
        <v>26</v>
      </c>
      <c r="R456" s="1" t="s">
        <v>153</v>
      </c>
      <c r="S456" s="1">
        <v>0</v>
      </c>
      <c r="T456" s="1">
        <v>0</v>
      </c>
      <c r="U456" s="1">
        <f t="shared" si="38"/>
        <v>0</v>
      </c>
      <c r="V456" s="1">
        <v>1</v>
      </c>
      <c r="W456" s="1">
        <f t="shared" si="37"/>
        <v>1</v>
      </c>
      <c r="X456" s="5" t="e">
        <f t="shared" si="35"/>
        <v>#DIV/0!</v>
      </c>
    </row>
    <row r="457" spans="1:24" ht="15" customHeight="1">
      <c r="A457" s="6">
        <v>46054</v>
      </c>
      <c r="B457" s="1" t="s">
        <v>18</v>
      </c>
      <c r="C457" s="1" t="s">
        <v>1298</v>
      </c>
      <c r="D457" s="1" t="s">
        <v>1318</v>
      </c>
      <c r="E457" s="1" t="s">
        <v>1319</v>
      </c>
      <c r="F457" s="1" t="s">
        <v>1320</v>
      </c>
      <c r="G457" s="1" t="s">
        <v>1308</v>
      </c>
      <c r="H457" s="1" t="s">
        <v>24</v>
      </c>
      <c r="I457" s="2">
        <v>7</v>
      </c>
      <c r="J457" s="2">
        <v>23062683</v>
      </c>
      <c r="K457" s="2">
        <v>0</v>
      </c>
      <c r="L457" s="2">
        <v>0</v>
      </c>
      <c r="M457" s="2">
        <v>0</v>
      </c>
      <c r="N457" s="2">
        <v>0</v>
      </c>
      <c r="O457" s="2">
        <v>23062683</v>
      </c>
      <c r="P457" s="1" t="s">
        <v>1303</v>
      </c>
      <c r="Q457" s="1" t="s">
        <v>26</v>
      </c>
      <c r="R457" s="1" t="s">
        <v>27</v>
      </c>
      <c r="S457" s="1">
        <v>0</v>
      </c>
      <c r="T457" s="1">
        <v>0</v>
      </c>
      <c r="U457" s="1">
        <f t="shared" si="38"/>
        <v>0</v>
      </c>
      <c r="V457" s="1">
        <v>1</v>
      </c>
      <c r="W457" s="1">
        <f t="shared" si="37"/>
        <v>1</v>
      </c>
      <c r="X457" s="5" t="e">
        <f t="shared" si="35"/>
        <v>#DIV/0!</v>
      </c>
    </row>
    <row r="458" spans="1:24" ht="15" customHeight="1">
      <c r="A458" s="6">
        <v>46054</v>
      </c>
      <c r="B458" s="1" t="s">
        <v>18</v>
      </c>
      <c r="C458" s="1" t="s">
        <v>1298</v>
      </c>
      <c r="D458" s="1" t="s">
        <v>1321</v>
      </c>
      <c r="E458" s="1" t="s">
        <v>819</v>
      </c>
      <c r="F458" s="1" t="s">
        <v>1313</v>
      </c>
      <c r="G458" s="1"/>
      <c r="H458" s="1" t="s">
        <v>24</v>
      </c>
      <c r="I458" s="2">
        <v>3.2</v>
      </c>
      <c r="J458" s="2">
        <v>17175929</v>
      </c>
      <c r="K458" s="2">
        <v>0</v>
      </c>
      <c r="L458" s="2">
        <v>0</v>
      </c>
      <c r="M458" s="2">
        <v>0</v>
      </c>
      <c r="N458" s="2">
        <v>0</v>
      </c>
      <c r="O458" s="2">
        <v>17175929</v>
      </c>
      <c r="P458" s="1" t="s">
        <v>1314</v>
      </c>
      <c r="Q458" s="1" t="s">
        <v>26</v>
      </c>
      <c r="R458" s="1" t="s">
        <v>153</v>
      </c>
      <c r="S458" s="1">
        <v>0</v>
      </c>
      <c r="T458" s="1">
        <v>0</v>
      </c>
      <c r="U458" s="1">
        <f t="shared" si="38"/>
        <v>0</v>
      </c>
      <c r="V458" s="1">
        <v>1</v>
      </c>
      <c r="W458" s="1">
        <f t="shared" si="37"/>
        <v>1</v>
      </c>
      <c r="X458" s="5" t="e">
        <f t="shared" si="35"/>
        <v>#DIV/0!</v>
      </c>
    </row>
    <row r="459" spans="1:24" ht="15" customHeight="1">
      <c r="A459" s="6">
        <v>46054</v>
      </c>
      <c r="B459" s="1" t="s">
        <v>18</v>
      </c>
      <c r="C459" s="1" t="s">
        <v>1298</v>
      </c>
      <c r="D459" s="1" t="s">
        <v>1322</v>
      </c>
      <c r="E459" s="1" t="s">
        <v>1323</v>
      </c>
      <c r="F459" s="1"/>
      <c r="G459" s="1"/>
      <c r="H459" s="1" t="s">
        <v>24</v>
      </c>
      <c r="I459" s="2">
        <v>10</v>
      </c>
      <c r="J459" s="2">
        <v>21950901</v>
      </c>
      <c r="K459" s="2">
        <v>0</v>
      </c>
      <c r="L459" s="2">
        <v>0</v>
      </c>
      <c r="M459" s="2">
        <v>0</v>
      </c>
      <c r="N459" s="2">
        <v>0</v>
      </c>
      <c r="O459" s="2">
        <v>21950901</v>
      </c>
      <c r="P459" s="1" t="s">
        <v>1303</v>
      </c>
      <c r="Q459" s="1" t="s">
        <v>26</v>
      </c>
      <c r="R459" s="1" t="s">
        <v>66</v>
      </c>
      <c r="S459" s="1">
        <v>0</v>
      </c>
      <c r="T459" s="1">
        <v>0</v>
      </c>
      <c r="U459" s="1">
        <f t="shared" si="38"/>
        <v>0</v>
      </c>
      <c r="V459" s="1">
        <v>1</v>
      </c>
      <c r="W459" s="1">
        <f t="shared" si="37"/>
        <v>1</v>
      </c>
      <c r="X459" s="5" t="e">
        <f t="shared" si="35"/>
        <v>#DIV/0!</v>
      </c>
    </row>
    <row r="460" spans="1:24" ht="15" customHeight="1">
      <c r="A460" s="6">
        <v>46054</v>
      </c>
      <c r="B460" s="1" t="s">
        <v>56</v>
      </c>
      <c r="C460" s="1" t="s">
        <v>1298</v>
      </c>
      <c r="D460" s="1" t="s">
        <v>1324</v>
      </c>
      <c r="E460" s="1" t="s">
        <v>169</v>
      </c>
      <c r="F460" s="1"/>
      <c r="G460" s="1"/>
      <c r="H460" s="1" t="s">
        <v>24</v>
      </c>
      <c r="I460" s="2">
        <v>3</v>
      </c>
      <c r="J460" s="2">
        <v>117119</v>
      </c>
      <c r="K460" s="2">
        <v>0</v>
      </c>
      <c r="L460" s="2">
        <v>0</v>
      </c>
      <c r="M460" s="2">
        <v>0</v>
      </c>
      <c r="N460" s="2">
        <v>0</v>
      </c>
      <c r="O460" s="2">
        <v>117119</v>
      </c>
      <c r="P460" s="1" t="s">
        <v>1314</v>
      </c>
      <c r="Q460" s="1" t="s">
        <v>26</v>
      </c>
      <c r="R460" s="1" t="s">
        <v>44</v>
      </c>
      <c r="S460" s="1">
        <v>0</v>
      </c>
      <c r="T460" s="1">
        <v>0</v>
      </c>
      <c r="U460" s="1">
        <f t="shared" si="38"/>
        <v>0</v>
      </c>
      <c r="V460" s="1">
        <v>1</v>
      </c>
      <c r="W460" s="1">
        <f t="shared" si="37"/>
        <v>1</v>
      </c>
      <c r="X460" s="5" t="e">
        <f t="shared" si="35"/>
        <v>#DIV/0!</v>
      </c>
    </row>
    <row r="461" spans="1:24" ht="15" customHeight="1">
      <c r="A461" s="6">
        <v>46054</v>
      </c>
      <c r="B461" s="1" t="s">
        <v>61</v>
      </c>
      <c r="C461" s="1" t="s">
        <v>1298</v>
      </c>
      <c r="D461" s="1" t="s">
        <v>1325</v>
      </c>
      <c r="E461" s="1" t="s">
        <v>169</v>
      </c>
      <c r="F461" s="1" t="s">
        <v>1326</v>
      </c>
      <c r="G461" s="1" t="s">
        <v>1317</v>
      </c>
      <c r="H461" s="1" t="s">
        <v>54</v>
      </c>
      <c r="I461" s="2">
        <v>12</v>
      </c>
      <c r="J461" s="2">
        <v>961643</v>
      </c>
      <c r="K461" s="2">
        <v>0</v>
      </c>
      <c r="L461" s="2">
        <v>0</v>
      </c>
      <c r="M461" s="2">
        <v>0</v>
      </c>
      <c r="N461" s="2">
        <v>0</v>
      </c>
      <c r="O461" s="2">
        <v>961643</v>
      </c>
      <c r="P461" s="1" t="s">
        <v>1314</v>
      </c>
      <c r="Q461" s="1" t="s">
        <v>26</v>
      </c>
      <c r="R461" s="1" t="s">
        <v>55</v>
      </c>
      <c r="S461" s="1">
        <v>0</v>
      </c>
      <c r="T461" s="1">
        <v>0</v>
      </c>
      <c r="U461" s="1">
        <f t="shared" si="38"/>
        <v>0</v>
      </c>
      <c r="V461" s="1">
        <v>1</v>
      </c>
      <c r="W461" s="1">
        <f t="shared" si="37"/>
        <v>1</v>
      </c>
      <c r="X461" s="5" t="e">
        <f t="shared" si="35"/>
        <v>#DIV/0!</v>
      </c>
    </row>
    <row r="462" spans="1:24" ht="15" customHeight="1">
      <c r="A462" s="6">
        <v>46054</v>
      </c>
      <c r="B462" s="1" t="s">
        <v>61</v>
      </c>
      <c r="C462" s="1" t="s">
        <v>1298</v>
      </c>
      <c r="D462" s="1" t="s">
        <v>1327</v>
      </c>
      <c r="E462" s="1" t="s">
        <v>169</v>
      </c>
      <c r="F462" s="1" t="s">
        <v>1328</v>
      </c>
      <c r="G462" s="1" t="s">
        <v>1329</v>
      </c>
      <c r="H462" s="1" t="s">
        <v>54</v>
      </c>
      <c r="I462" s="2">
        <v>12</v>
      </c>
      <c r="J462" s="2">
        <v>953468</v>
      </c>
      <c r="K462" s="2">
        <v>0</v>
      </c>
      <c r="L462" s="2">
        <v>0</v>
      </c>
      <c r="M462" s="2">
        <v>0</v>
      </c>
      <c r="N462" s="2">
        <v>0</v>
      </c>
      <c r="O462" s="2">
        <v>953468</v>
      </c>
      <c r="P462" s="1" t="s">
        <v>1314</v>
      </c>
      <c r="Q462" s="1" t="s">
        <v>26</v>
      </c>
      <c r="R462" s="1" t="s">
        <v>55</v>
      </c>
      <c r="S462" s="1">
        <v>0</v>
      </c>
      <c r="T462" s="1">
        <v>0</v>
      </c>
      <c r="U462" s="1">
        <f t="shared" si="38"/>
        <v>0</v>
      </c>
      <c r="V462" s="1">
        <v>1</v>
      </c>
      <c r="W462" s="1">
        <f t="shared" si="37"/>
        <v>1</v>
      </c>
      <c r="X462" s="5" t="e">
        <f t="shared" si="35"/>
        <v>#DIV/0!</v>
      </c>
    </row>
    <row r="463" spans="1:24" ht="15" customHeight="1">
      <c r="A463" s="6">
        <v>46054</v>
      </c>
      <c r="B463" s="1" t="s">
        <v>61</v>
      </c>
      <c r="C463" s="1" t="s">
        <v>1298</v>
      </c>
      <c r="D463" s="1" t="s">
        <v>1330</v>
      </c>
      <c r="E463" s="1" t="s">
        <v>169</v>
      </c>
      <c r="F463" s="1" t="s">
        <v>1331</v>
      </c>
      <c r="G463" s="1" t="s">
        <v>1308</v>
      </c>
      <c r="H463" s="1" t="s">
        <v>54</v>
      </c>
      <c r="I463" s="2">
        <v>12</v>
      </c>
      <c r="J463" s="2">
        <v>948478</v>
      </c>
      <c r="K463" s="2">
        <v>0</v>
      </c>
      <c r="L463" s="2">
        <v>0</v>
      </c>
      <c r="M463" s="2">
        <v>0</v>
      </c>
      <c r="N463" s="2">
        <v>0</v>
      </c>
      <c r="O463" s="2">
        <v>948478</v>
      </c>
      <c r="P463" s="1" t="s">
        <v>1314</v>
      </c>
      <c r="Q463" s="1" t="s">
        <v>26</v>
      </c>
      <c r="R463" s="1" t="s">
        <v>55</v>
      </c>
      <c r="S463" s="1">
        <v>0</v>
      </c>
      <c r="T463" s="1">
        <v>0</v>
      </c>
      <c r="U463" s="1">
        <f t="shared" si="38"/>
        <v>0</v>
      </c>
      <c r="V463" s="1">
        <v>1</v>
      </c>
      <c r="W463" s="1">
        <f t="shared" si="37"/>
        <v>1</v>
      </c>
      <c r="X463" s="5" t="e">
        <f t="shared" si="35"/>
        <v>#DIV/0!</v>
      </c>
    </row>
    <row r="464" spans="1:24" ht="15" customHeight="1">
      <c r="A464" s="6">
        <v>46054</v>
      </c>
      <c r="B464" s="1" t="s">
        <v>61</v>
      </c>
      <c r="C464" s="1" t="s">
        <v>1298</v>
      </c>
      <c r="D464" s="1" t="s">
        <v>1332</v>
      </c>
      <c r="E464" s="1" t="s">
        <v>169</v>
      </c>
      <c r="F464" s="1" t="s">
        <v>1333</v>
      </c>
      <c r="G464" s="1" t="s">
        <v>1313</v>
      </c>
      <c r="H464" s="1" t="s">
        <v>54</v>
      </c>
      <c r="I464" s="2">
        <v>12</v>
      </c>
      <c r="J464" s="2">
        <v>917654</v>
      </c>
      <c r="K464" s="2">
        <v>0</v>
      </c>
      <c r="L464" s="2">
        <v>0</v>
      </c>
      <c r="M464" s="2">
        <v>0</v>
      </c>
      <c r="N464" s="2">
        <v>0</v>
      </c>
      <c r="O464" s="2">
        <v>917654</v>
      </c>
      <c r="P464" s="1" t="s">
        <v>1314</v>
      </c>
      <c r="Q464" s="1" t="s">
        <v>26</v>
      </c>
      <c r="R464" s="1" t="s">
        <v>66</v>
      </c>
      <c r="S464" s="1">
        <v>0</v>
      </c>
      <c r="T464" s="1">
        <v>0</v>
      </c>
      <c r="U464" s="1">
        <f t="shared" si="38"/>
        <v>0</v>
      </c>
      <c r="V464" s="1">
        <v>1</v>
      </c>
      <c r="W464" s="1">
        <f t="shared" si="37"/>
        <v>1</v>
      </c>
      <c r="X464" s="5" t="e">
        <f t="shared" si="35"/>
        <v>#DIV/0!</v>
      </c>
    </row>
    <row r="465" spans="1:24" ht="15" customHeight="1">
      <c r="A465" s="6">
        <v>46054</v>
      </c>
      <c r="B465" s="1" t="s">
        <v>61</v>
      </c>
      <c r="C465" s="1" t="s">
        <v>1298</v>
      </c>
      <c r="D465" s="1" t="s">
        <v>1334</v>
      </c>
      <c r="E465" s="1" t="s">
        <v>169</v>
      </c>
      <c r="F465" s="1" t="s">
        <v>1335</v>
      </c>
      <c r="G465" s="1" t="s">
        <v>1336</v>
      </c>
      <c r="H465" s="1" t="s">
        <v>54</v>
      </c>
      <c r="I465" s="2">
        <v>12</v>
      </c>
      <c r="J465" s="2">
        <v>913147</v>
      </c>
      <c r="K465" s="2">
        <v>0</v>
      </c>
      <c r="L465" s="2">
        <v>0</v>
      </c>
      <c r="M465" s="2">
        <v>0</v>
      </c>
      <c r="N465" s="2">
        <v>0</v>
      </c>
      <c r="O465" s="2">
        <v>913147</v>
      </c>
      <c r="P465" s="1" t="s">
        <v>1314</v>
      </c>
      <c r="Q465" s="1" t="s">
        <v>26</v>
      </c>
      <c r="R465" s="1" t="s">
        <v>66</v>
      </c>
      <c r="S465" s="1">
        <v>0</v>
      </c>
      <c r="T465" s="1">
        <v>0</v>
      </c>
      <c r="U465" s="1">
        <f t="shared" si="38"/>
        <v>0</v>
      </c>
      <c r="V465" s="1">
        <v>1</v>
      </c>
      <c r="W465" s="1">
        <f t="shared" si="37"/>
        <v>1</v>
      </c>
      <c r="X465" s="5" t="e">
        <f t="shared" si="35"/>
        <v>#DIV/0!</v>
      </c>
    </row>
    <row r="466" spans="1:24" ht="15" customHeight="1">
      <c r="A466" s="6">
        <v>46054</v>
      </c>
      <c r="B466" s="1" t="s">
        <v>61</v>
      </c>
      <c r="C466" s="1" t="s">
        <v>1298</v>
      </c>
      <c r="D466" s="1" t="s">
        <v>1337</v>
      </c>
      <c r="E466" s="1" t="s">
        <v>1338</v>
      </c>
      <c r="F466" s="1" t="s">
        <v>1339</v>
      </c>
      <c r="G466" s="1" t="s">
        <v>1340</v>
      </c>
      <c r="H466" s="1" t="s">
        <v>24</v>
      </c>
      <c r="I466" s="2">
        <v>8</v>
      </c>
      <c r="J466" s="2">
        <v>1280</v>
      </c>
      <c r="K466" s="2">
        <v>1180</v>
      </c>
      <c r="L466" s="2">
        <v>2460</v>
      </c>
      <c r="M466" s="2">
        <v>0</v>
      </c>
      <c r="N466" s="2">
        <v>0</v>
      </c>
      <c r="O466" s="2">
        <v>0</v>
      </c>
      <c r="P466" s="1" t="s">
        <v>1314</v>
      </c>
      <c r="Q466" s="1" t="s">
        <v>35</v>
      </c>
      <c r="R466" s="1" t="s">
        <v>1304</v>
      </c>
      <c r="S466" s="1">
        <v>0</v>
      </c>
      <c r="T466" s="1">
        <v>1</v>
      </c>
      <c r="U466" s="1">
        <f t="shared" si="38"/>
        <v>1</v>
      </c>
      <c r="V466" s="1">
        <v>0</v>
      </c>
      <c r="W466" s="1">
        <f t="shared" si="37"/>
        <v>1</v>
      </c>
      <c r="X466" s="5">
        <f t="shared" si="35"/>
        <v>0</v>
      </c>
    </row>
    <row r="467" spans="1:24" ht="15" customHeight="1">
      <c r="A467" s="6">
        <v>46054</v>
      </c>
      <c r="B467" s="1" t="s">
        <v>18</v>
      </c>
      <c r="C467" s="1" t="s">
        <v>1341</v>
      </c>
      <c r="D467" s="1" t="s">
        <v>1342</v>
      </c>
      <c r="E467" s="1" t="s">
        <v>582</v>
      </c>
      <c r="F467" s="1" t="s">
        <v>1343</v>
      </c>
      <c r="G467" s="1" t="s">
        <v>1317</v>
      </c>
      <c r="H467" s="1" t="s">
        <v>24</v>
      </c>
      <c r="I467" s="2">
        <v>18.5</v>
      </c>
      <c r="J467" s="2">
        <v>20512420</v>
      </c>
      <c r="K467" s="2">
        <v>1180</v>
      </c>
      <c r="L467" s="2">
        <v>0</v>
      </c>
      <c r="M467" s="2">
        <v>0</v>
      </c>
      <c r="N467" s="2">
        <v>100</v>
      </c>
      <c r="O467" s="2">
        <v>20513700</v>
      </c>
      <c r="P467" s="1" t="s">
        <v>1314</v>
      </c>
      <c r="Q467" s="1" t="s">
        <v>35</v>
      </c>
      <c r="R467" s="1" t="s">
        <v>153</v>
      </c>
      <c r="S467" s="1">
        <v>1</v>
      </c>
      <c r="T467" s="1">
        <v>0</v>
      </c>
      <c r="U467" s="1">
        <f t="shared" si="38"/>
        <v>1</v>
      </c>
      <c r="V467" s="1">
        <v>0</v>
      </c>
      <c r="W467" s="1">
        <f t="shared" si="37"/>
        <v>1</v>
      </c>
      <c r="X467" s="5">
        <f t="shared" si="35"/>
        <v>100</v>
      </c>
    </row>
    <row r="468" spans="1:24" ht="15" customHeight="1">
      <c r="A468" s="6">
        <v>46054</v>
      </c>
      <c r="B468" s="1" t="s">
        <v>18</v>
      </c>
      <c r="C468" s="1" t="s">
        <v>1344</v>
      </c>
      <c r="D468" s="1" t="s">
        <v>1345</v>
      </c>
      <c r="E468" s="1" t="s">
        <v>1346</v>
      </c>
      <c r="F468" s="1" t="s">
        <v>1347</v>
      </c>
      <c r="G468" s="1" t="s">
        <v>1348</v>
      </c>
      <c r="H468" s="1" t="s">
        <v>24</v>
      </c>
      <c r="I468" s="2">
        <v>9</v>
      </c>
      <c r="J468" s="2">
        <v>16008290</v>
      </c>
      <c r="K468" s="2">
        <v>0</v>
      </c>
      <c r="L468" s="2">
        <v>0</v>
      </c>
      <c r="M468" s="2">
        <v>0</v>
      </c>
      <c r="N468" s="2">
        <v>0</v>
      </c>
      <c r="O468" s="2">
        <v>16008290</v>
      </c>
      <c r="P468" s="1" t="s">
        <v>1303</v>
      </c>
      <c r="Q468" s="1" t="s">
        <v>26</v>
      </c>
      <c r="R468" s="1" t="s">
        <v>153</v>
      </c>
      <c r="S468" s="1">
        <v>0</v>
      </c>
      <c r="T468" s="1">
        <v>0</v>
      </c>
      <c r="U468" s="1">
        <f t="shared" si="38"/>
        <v>0</v>
      </c>
      <c r="V468" s="1">
        <v>1</v>
      </c>
      <c r="W468" s="1">
        <f t="shared" si="37"/>
        <v>1</v>
      </c>
      <c r="X468" s="5" t="e">
        <f t="shared" si="35"/>
        <v>#DIV/0!</v>
      </c>
    </row>
    <row r="469" spans="1:24" ht="15" customHeight="1">
      <c r="A469" s="6">
        <v>46054</v>
      </c>
      <c r="B469" s="1" t="s">
        <v>18</v>
      </c>
      <c r="C469" s="1" t="s">
        <v>1344</v>
      </c>
      <c r="D469" s="1" t="s">
        <v>1349</v>
      </c>
      <c r="E469" s="1" t="s">
        <v>1350</v>
      </c>
      <c r="F469" s="1" t="s">
        <v>1351</v>
      </c>
      <c r="G469" s="1" t="s">
        <v>1317</v>
      </c>
      <c r="H469" s="1" t="s">
        <v>24</v>
      </c>
      <c r="I469" s="2">
        <v>4.9800000000000004</v>
      </c>
      <c r="J469" s="2">
        <v>55061</v>
      </c>
      <c r="K469" s="2">
        <v>13078</v>
      </c>
      <c r="L469" s="2">
        <v>0</v>
      </c>
      <c r="M469" s="2">
        <v>0</v>
      </c>
      <c r="N469" s="2">
        <v>1312</v>
      </c>
      <c r="O469" s="2">
        <v>69451</v>
      </c>
      <c r="P469" s="1" t="s">
        <v>1314</v>
      </c>
      <c r="Q469" s="1" t="s">
        <v>35</v>
      </c>
      <c r="R469" s="1" t="s">
        <v>153</v>
      </c>
      <c r="S469" s="1">
        <v>1</v>
      </c>
      <c r="T469" s="1">
        <v>0</v>
      </c>
      <c r="U469" s="1">
        <f t="shared" si="38"/>
        <v>1</v>
      </c>
      <c r="V469" s="1">
        <v>0</v>
      </c>
      <c r="W469" s="1">
        <f t="shared" si="37"/>
        <v>1</v>
      </c>
      <c r="X469" s="5">
        <f t="shared" si="35"/>
        <v>100</v>
      </c>
    </row>
    <row r="470" spans="1:24" ht="15" customHeight="1">
      <c r="A470" s="6">
        <v>46054</v>
      </c>
      <c r="B470" s="1" t="s">
        <v>18</v>
      </c>
      <c r="C470" s="1" t="s">
        <v>1344</v>
      </c>
      <c r="D470" s="1" t="s">
        <v>1352</v>
      </c>
      <c r="E470" s="1" t="s">
        <v>169</v>
      </c>
      <c r="F470" s="1" t="s">
        <v>1353</v>
      </c>
      <c r="G470" s="1" t="s">
        <v>1348</v>
      </c>
      <c r="H470" s="1" t="s">
        <v>24</v>
      </c>
      <c r="I470" s="2">
        <v>9</v>
      </c>
      <c r="J470" s="2">
        <v>14841878</v>
      </c>
      <c r="K470" s="2">
        <v>0</v>
      </c>
      <c r="L470" s="2">
        <v>0</v>
      </c>
      <c r="M470" s="2">
        <v>0</v>
      </c>
      <c r="N470" s="2">
        <v>0</v>
      </c>
      <c r="O470" s="2">
        <v>14841878</v>
      </c>
      <c r="P470" s="1" t="s">
        <v>1314</v>
      </c>
      <c r="Q470" s="1" t="s">
        <v>26</v>
      </c>
      <c r="R470" s="1" t="s">
        <v>66</v>
      </c>
      <c r="S470" s="1">
        <v>0</v>
      </c>
      <c r="T470" s="1">
        <v>0</v>
      </c>
      <c r="U470" s="1">
        <f t="shared" si="38"/>
        <v>0</v>
      </c>
      <c r="V470" s="1">
        <v>1</v>
      </c>
      <c r="W470" s="1">
        <f t="shared" si="37"/>
        <v>1</v>
      </c>
      <c r="X470" s="5" t="e">
        <f t="shared" si="35"/>
        <v>#DIV/0!</v>
      </c>
    </row>
    <row r="471" spans="1:24" ht="15" customHeight="1">
      <c r="A471" s="6">
        <v>46054</v>
      </c>
      <c r="B471" s="1" t="s">
        <v>18</v>
      </c>
      <c r="C471" s="1" t="s">
        <v>1344</v>
      </c>
      <c r="D471" s="1" t="s">
        <v>1354</v>
      </c>
      <c r="E471" s="1" t="s">
        <v>169</v>
      </c>
      <c r="F471" s="1" t="s">
        <v>1355</v>
      </c>
      <c r="G471" s="1" t="s">
        <v>1348</v>
      </c>
      <c r="H471" s="1" t="s">
        <v>24</v>
      </c>
      <c r="I471" s="2">
        <v>5</v>
      </c>
      <c r="J471" s="2">
        <v>12818336</v>
      </c>
      <c r="K471" s="2">
        <v>0</v>
      </c>
      <c r="L471" s="2">
        <v>0</v>
      </c>
      <c r="M471" s="2">
        <v>0</v>
      </c>
      <c r="N471" s="2">
        <v>0</v>
      </c>
      <c r="O471" s="2">
        <v>12818336</v>
      </c>
      <c r="P471" s="1" t="s">
        <v>1314</v>
      </c>
      <c r="Q471" s="1" t="s">
        <v>26</v>
      </c>
      <c r="R471" s="1" t="s">
        <v>66</v>
      </c>
      <c r="S471" s="1">
        <v>0</v>
      </c>
      <c r="T471" s="1">
        <v>0</v>
      </c>
      <c r="U471" s="1">
        <f t="shared" si="38"/>
        <v>0</v>
      </c>
      <c r="V471" s="1">
        <v>1</v>
      </c>
      <c r="W471" s="1">
        <f t="shared" si="37"/>
        <v>1</v>
      </c>
      <c r="X471" s="5" t="e">
        <f t="shared" si="35"/>
        <v>#DIV/0!</v>
      </c>
    </row>
    <row r="472" spans="1:24" ht="15" customHeight="1">
      <c r="A472" s="6">
        <v>46054</v>
      </c>
      <c r="B472" s="1" t="s">
        <v>18</v>
      </c>
      <c r="C472" s="1" t="s">
        <v>1344</v>
      </c>
      <c r="D472" s="1" t="s">
        <v>1356</v>
      </c>
      <c r="E472" s="1" t="s">
        <v>1357</v>
      </c>
      <c r="F472" s="1" t="s">
        <v>1348</v>
      </c>
      <c r="G472" s="1"/>
      <c r="H472" s="1" t="s">
        <v>24</v>
      </c>
      <c r="I472" s="2">
        <v>11.5</v>
      </c>
      <c r="J472" s="2">
        <v>22436604</v>
      </c>
      <c r="K472" s="2">
        <v>6235</v>
      </c>
      <c r="L472" s="2">
        <v>0</v>
      </c>
      <c r="M472" s="2">
        <v>0</v>
      </c>
      <c r="N472" s="2">
        <v>164</v>
      </c>
      <c r="O472" s="2">
        <v>22443003</v>
      </c>
      <c r="P472" s="1" t="s">
        <v>1314</v>
      </c>
      <c r="Q472" s="1" t="s">
        <v>35</v>
      </c>
      <c r="R472" s="1" t="s">
        <v>153</v>
      </c>
      <c r="S472" s="1">
        <v>1</v>
      </c>
      <c r="T472" s="1">
        <v>0</v>
      </c>
      <c r="U472" s="1">
        <f t="shared" si="38"/>
        <v>1</v>
      </c>
      <c r="V472" s="1">
        <v>0</v>
      </c>
      <c r="W472" s="1">
        <f t="shared" si="37"/>
        <v>1</v>
      </c>
      <c r="X472" s="5">
        <f t="shared" si="35"/>
        <v>100</v>
      </c>
    </row>
    <row r="473" spans="1:24" ht="15" customHeight="1">
      <c r="A473" s="6">
        <v>46054</v>
      </c>
      <c r="B473" s="1" t="s">
        <v>18</v>
      </c>
      <c r="C473" s="1" t="s">
        <v>1344</v>
      </c>
      <c r="D473" s="1" t="s">
        <v>1358</v>
      </c>
      <c r="E473" s="1" t="s">
        <v>1359</v>
      </c>
      <c r="F473" s="1" t="s">
        <v>1348</v>
      </c>
      <c r="G473" s="1"/>
      <c r="H473" s="1" t="s">
        <v>24</v>
      </c>
      <c r="I473" s="2">
        <v>11</v>
      </c>
      <c r="J473" s="2">
        <v>22997490</v>
      </c>
      <c r="K473" s="2">
        <v>48131</v>
      </c>
      <c r="L473" s="2">
        <v>0</v>
      </c>
      <c r="M473" s="2">
        <v>0</v>
      </c>
      <c r="N473" s="2">
        <v>4690</v>
      </c>
      <c r="O473" s="2">
        <v>23050311</v>
      </c>
      <c r="P473" s="1" t="s">
        <v>1314</v>
      </c>
      <c r="Q473" s="1" t="s">
        <v>35</v>
      </c>
      <c r="R473" s="1" t="s">
        <v>153</v>
      </c>
      <c r="S473" s="1">
        <v>1</v>
      </c>
      <c r="T473" s="1">
        <v>0</v>
      </c>
      <c r="U473" s="1">
        <f t="shared" si="38"/>
        <v>1</v>
      </c>
      <c r="V473" s="1">
        <v>0</v>
      </c>
      <c r="W473" s="1">
        <f t="shared" si="37"/>
        <v>1</v>
      </c>
      <c r="X473" s="5">
        <f t="shared" si="35"/>
        <v>100</v>
      </c>
    </row>
    <row r="474" spans="1:24" ht="15" customHeight="1">
      <c r="A474" s="6">
        <v>46054</v>
      </c>
      <c r="B474" s="1" t="s">
        <v>18</v>
      </c>
      <c r="C474" s="1" t="s">
        <v>1344</v>
      </c>
      <c r="D474" s="1" t="s">
        <v>1360</v>
      </c>
      <c r="E474" s="1" t="s">
        <v>1361</v>
      </c>
      <c r="F474" s="1" t="s">
        <v>915</v>
      </c>
      <c r="G474" s="1" t="s">
        <v>1362</v>
      </c>
      <c r="H474" s="1" t="s">
        <v>24</v>
      </c>
      <c r="I474" s="2">
        <v>7</v>
      </c>
      <c r="J474" s="2">
        <v>7780027</v>
      </c>
      <c r="K474" s="2">
        <v>8100</v>
      </c>
      <c r="L474" s="2">
        <v>0</v>
      </c>
      <c r="M474" s="2">
        <v>0</v>
      </c>
      <c r="N474" s="2">
        <v>1044</v>
      </c>
      <c r="O474" s="2">
        <v>7789171</v>
      </c>
      <c r="P474" s="1" t="s">
        <v>1314</v>
      </c>
      <c r="Q474" s="1" t="s">
        <v>35</v>
      </c>
      <c r="R474" s="1" t="s">
        <v>153</v>
      </c>
      <c r="S474" s="1">
        <v>1</v>
      </c>
      <c r="T474" s="1">
        <v>0</v>
      </c>
      <c r="U474" s="1">
        <f t="shared" si="38"/>
        <v>1</v>
      </c>
      <c r="V474" s="1">
        <v>0</v>
      </c>
      <c r="W474" s="1">
        <f t="shared" si="37"/>
        <v>1</v>
      </c>
      <c r="X474" s="5">
        <f t="shared" si="35"/>
        <v>100</v>
      </c>
    </row>
    <row r="475" spans="1:24" ht="15" customHeight="1">
      <c r="A475" s="6">
        <v>46054</v>
      </c>
      <c r="B475" s="1" t="s">
        <v>18</v>
      </c>
      <c r="C475" s="1" t="s">
        <v>1344</v>
      </c>
      <c r="D475" s="1" t="s">
        <v>1363</v>
      </c>
      <c r="E475" s="1" t="s">
        <v>1364</v>
      </c>
      <c r="F475" s="1" t="s">
        <v>1365</v>
      </c>
      <c r="G475" s="1" t="s">
        <v>1317</v>
      </c>
      <c r="H475" s="1" t="s">
        <v>24</v>
      </c>
      <c r="I475" s="2">
        <v>4.9800000000000004</v>
      </c>
      <c r="J475" s="2">
        <v>160838</v>
      </c>
      <c r="K475" s="2">
        <v>1409</v>
      </c>
      <c r="L475" s="2">
        <v>0</v>
      </c>
      <c r="M475" s="2">
        <v>0</v>
      </c>
      <c r="N475" s="2">
        <v>100</v>
      </c>
      <c r="O475" s="2">
        <v>162347</v>
      </c>
      <c r="P475" s="1" t="s">
        <v>1314</v>
      </c>
      <c r="Q475" s="1" t="s">
        <v>35</v>
      </c>
      <c r="R475" s="1" t="s">
        <v>888</v>
      </c>
      <c r="S475" s="1">
        <v>1</v>
      </c>
      <c r="T475" s="1">
        <v>0</v>
      </c>
      <c r="U475" s="1">
        <f t="shared" si="38"/>
        <v>1</v>
      </c>
      <c r="V475" s="1">
        <v>0</v>
      </c>
      <c r="W475" s="1">
        <f t="shared" si="37"/>
        <v>1</v>
      </c>
      <c r="X475" s="5">
        <f t="shared" si="35"/>
        <v>100</v>
      </c>
    </row>
    <row r="476" spans="1:24">
      <c r="A476" s="6">
        <v>46054</v>
      </c>
      <c r="B476" s="1" t="s">
        <v>18</v>
      </c>
      <c r="C476" s="1" t="s">
        <v>1344</v>
      </c>
      <c r="D476" s="1" t="s">
        <v>1366</v>
      </c>
      <c r="E476" s="1" t="s">
        <v>1367</v>
      </c>
      <c r="F476" s="1" t="s">
        <v>1368</v>
      </c>
      <c r="G476" s="1" t="s">
        <v>1336</v>
      </c>
      <c r="H476" s="1" t="s">
        <v>24</v>
      </c>
      <c r="I476" s="2">
        <v>8</v>
      </c>
      <c r="J476" s="2">
        <v>3846</v>
      </c>
      <c r="K476" s="2">
        <v>6884</v>
      </c>
      <c r="L476" s="2">
        <v>0</v>
      </c>
      <c r="M476" s="2">
        <v>0</v>
      </c>
      <c r="N476" s="2">
        <v>100</v>
      </c>
      <c r="O476" s="2">
        <v>10830</v>
      </c>
      <c r="P476" s="1" t="s">
        <v>1314</v>
      </c>
      <c r="Q476" s="1" t="s">
        <v>35</v>
      </c>
      <c r="R476" s="1" t="s">
        <v>153</v>
      </c>
      <c r="S476" s="1">
        <v>0</v>
      </c>
      <c r="T476" s="1">
        <v>1</v>
      </c>
      <c r="U476" s="1">
        <f t="shared" si="38"/>
        <v>1</v>
      </c>
      <c r="V476" s="1">
        <v>0</v>
      </c>
      <c r="W476" s="1">
        <f t="shared" si="37"/>
        <v>1</v>
      </c>
      <c r="X476" s="5">
        <f t="shared" si="35"/>
        <v>0</v>
      </c>
    </row>
    <row r="477" spans="1:24" ht="15" customHeight="1">
      <c r="A477" s="6">
        <v>46054</v>
      </c>
      <c r="B477" s="1" t="s">
        <v>18</v>
      </c>
      <c r="C477" s="1" t="s">
        <v>1344</v>
      </c>
      <c r="D477" s="1" t="s">
        <v>1369</v>
      </c>
      <c r="E477" s="1" t="s">
        <v>1370</v>
      </c>
      <c r="F477" s="1" t="s">
        <v>1371</v>
      </c>
      <c r="G477" s="1" t="s">
        <v>1313</v>
      </c>
      <c r="H477" s="1" t="s">
        <v>24</v>
      </c>
      <c r="I477" s="2">
        <v>4.9800000000000004</v>
      </c>
      <c r="J477" s="2">
        <v>148248</v>
      </c>
      <c r="K477" s="2">
        <v>4415</v>
      </c>
      <c r="L477" s="2">
        <v>0</v>
      </c>
      <c r="M477" s="2">
        <v>0</v>
      </c>
      <c r="N477" s="2">
        <v>1564</v>
      </c>
      <c r="O477" s="2">
        <v>154227</v>
      </c>
      <c r="P477" s="1" t="s">
        <v>1314</v>
      </c>
      <c r="Q477" s="1" t="s">
        <v>35</v>
      </c>
      <c r="R477" s="1" t="s">
        <v>759</v>
      </c>
      <c r="S477" s="1">
        <v>1</v>
      </c>
      <c r="T477" s="1">
        <v>0</v>
      </c>
      <c r="U477" s="1">
        <f t="shared" si="38"/>
        <v>1</v>
      </c>
      <c r="V477" s="1">
        <v>0</v>
      </c>
      <c r="W477" s="1">
        <f t="shared" si="37"/>
        <v>1</v>
      </c>
      <c r="X477" s="5">
        <f t="shared" si="35"/>
        <v>100</v>
      </c>
    </row>
    <row r="478" spans="1:24" ht="15" customHeight="1">
      <c r="A478" s="6">
        <v>46054</v>
      </c>
      <c r="B478" s="1" t="s">
        <v>18</v>
      </c>
      <c r="C478" s="1" t="s">
        <v>1344</v>
      </c>
      <c r="D478" s="1" t="s">
        <v>1372</v>
      </c>
      <c r="E478" s="1" t="s">
        <v>169</v>
      </c>
      <c r="F478" s="1" t="s">
        <v>1373</v>
      </c>
      <c r="G478" s="1" t="s">
        <v>1348</v>
      </c>
      <c r="H478" s="1" t="s">
        <v>24</v>
      </c>
      <c r="I478" s="2">
        <v>1</v>
      </c>
      <c r="J478" s="2">
        <v>-15</v>
      </c>
      <c r="K478" s="2">
        <v>0</v>
      </c>
      <c r="L478" s="2">
        <v>0</v>
      </c>
      <c r="M478" s="2">
        <v>0</v>
      </c>
      <c r="N478" s="2">
        <v>0</v>
      </c>
      <c r="O478" s="2">
        <v>-15</v>
      </c>
      <c r="P478" s="1" t="s">
        <v>1314</v>
      </c>
      <c r="Q478" s="1" t="s">
        <v>26</v>
      </c>
      <c r="R478" s="1" t="s">
        <v>66</v>
      </c>
      <c r="S478" s="1">
        <v>0</v>
      </c>
      <c r="T478" s="1">
        <v>0</v>
      </c>
      <c r="U478" s="1">
        <f t="shared" si="38"/>
        <v>0</v>
      </c>
      <c r="V478" s="1">
        <v>1</v>
      </c>
      <c r="W478" s="1">
        <f t="shared" si="37"/>
        <v>1</v>
      </c>
      <c r="X478" s="5" t="e">
        <f t="shared" si="35"/>
        <v>#DIV/0!</v>
      </c>
    </row>
    <row r="479" spans="1:24" ht="15" customHeight="1">
      <c r="A479" s="6">
        <v>46054</v>
      </c>
      <c r="B479" s="1" t="s">
        <v>18</v>
      </c>
      <c r="C479" s="1" t="s">
        <v>1344</v>
      </c>
      <c r="D479" s="1" t="s">
        <v>1374</v>
      </c>
      <c r="E479" s="1" t="s">
        <v>1375</v>
      </c>
      <c r="F479" s="1" t="s">
        <v>1376</v>
      </c>
      <c r="G479" s="1" t="s">
        <v>1377</v>
      </c>
      <c r="H479" s="1" t="s">
        <v>24</v>
      </c>
      <c r="I479" s="2">
        <v>5</v>
      </c>
      <c r="J479" s="2">
        <v>12891</v>
      </c>
      <c r="K479" s="2">
        <v>0</v>
      </c>
      <c r="L479" s="2">
        <v>0</v>
      </c>
      <c r="M479" s="2">
        <v>0</v>
      </c>
      <c r="N479" s="2">
        <v>0</v>
      </c>
      <c r="O479" s="2">
        <v>12891</v>
      </c>
      <c r="P479" s="1" t="s">
        <v>1314</v>
      </c>
      <c r="Q479" s="1" t="s">
        <v>26</v>
      </c>
      <c r="R479" s="1" t="s">
        <v>836</v>
      </c>
      <c r="S479" s="1">
        <v>0</v>
      </c>
      <c r="T479" s="1">
        <v>0</v>
      </c>
      <c r="U479" s="1">
        <f t="shared" si="38"/>
        <v>0</v>
      </c>
      <c r="V479" s="1">
        <v>1</v>
      </c>
      <c r="W479" s="1">
        <f t="shared" ref="W479" si="39">V479+U479</f>
        <v>1</v>
      </c>
      <c r="X479" s="5" t="e">
        <f t="shared" ref="X479" si="40">100/U479*S479</f>
        <v>#DIV/0!</v>
      </c>
    </row>
    <row r="480" spans="1:24" ht="15" customHeight="1">
      <c r="A480" s="6">
        <v>46054</v>
      </c>
      <c r="B480" s="1" t="s">
        <v>49</v>
      </c>
      <c r="C480" s="1" t="s">
        <v>1344</v>
      </c>
      <c r="D480" s="1" t="s">
        <v>1381</v>
      </c>
      <c r="E480" s="1" t="s">
        <v>169</v>
      </c>
      <c r="F480" s="1" t="s">
        <v>1348</v>
      </c>
      <c r="G480" s="1" t="s">
        <v>1348</v>
      </c>
      <c r="H480" s="1" t="s">
        <v>54</v>
      </c>
      <c r="I480" s="2">
        <v>4</v>
      </c>
      <c r="J480" s="2">
        <v>-5</v>
      </c>
      <c r="K480" s="2">
        <v>0</v>
      </c>
      <c r="L480" s="2">
        <v>0</v>
      </c>
      <c r="M480" s="2">
        <v>0</v>
      </c>
      <c r="N480" s="2">
        <v>0</v>
      </c>
      <c r="O480" s="2">
        <v>-5</v>
      </c>
      <c r="P480" s="1" t="s">
        <v>1303</v>
      </c>
      <c r="Q480" s="1" t="s">
        <v>26</v>
      </c>
      <c r="R480" s="1" t="s">
        <v>55</v>
      </c>
      <c r="S480" s="1">
        <v>0</v>
      </c>
      <c r="T480" s="1">
        <v>0</v>
      </c>
      <c r="U480" s="1">
        <f t="shared" si="38"/>
        <v>0</v>
      </c>
      <c r="V480" s="1">
        <v>1</v>
      </c>
      <c r="W480" s="1">
        <f t="shared" ref="W480:W481" si="41">V480+U480</f>
        <v>1</v>
      </c>
      <c r="X480" s="5" t="e">
        <f t="shared" ref="X480:X481" si="42">100/U480*S480</f>
        <v>#DIV/0!</v>
      </c>
    </row>
    <row r="481" spans="1:24" ht="15" customHeight="1">
      <c r="A481" s="6">
        <v>46054</v>
      </c>
      <c r="B481" s="1" t="s">
        <v>49</v>
      </c>
      <c r="C481" s="1" t="s">
        <v>1344</v>
      </c>
      <c r="D481" s="1" t="s">
        <v>1382</v>
      </c>
      <c r="E481" s="1" t="s">
        <v>169</v>
      </c>
      <c r="F481" s="1" t="s">
        <v>1348</v>
      </c>
      <c r="G481" s="1" t="s">
        <v>1348</v>
      </c>
      <c r="H481" s="1" t="s">
        <v>54</v>
      </c>
      <c r="I481" s="2">
        <v>4</v>
      </c>
      <c r="J481" s="2">
        <v>-187397</v>
      </c>
      <c r="K481" s="2">
        <v>0</v>
      </c>
      <c r="L481" s="2">
        <v>0</v>
      </c>
      <c r="M481" s="2">
        <v>0</v>
      </c>
      <c r="N481" s="2">
        <v>0</v>
      </c>
      <c r="O481" s="2">
        <v>-187397</v>
      </c>
      <c r="P481" s="1" t="s">
        <v>1303</v>
      </c>
      <c r="Q481" s="1" t="s">
        <v>26</v>
      </c>
      <c r="R481" s="1" t="s">
        <v>55</v>
      </c>
      <c r="S481" s="1">
        <v>0</v>
      </c>
      <c r="T481" s="1">
        <v>0</v>
      </c>
      <c r="U481" s="1">
        <f t="shared" si="38"/>
        <v>0</v>
      </c>
      <c r="V481" s="1">
        <v>1</v>
      </c>
      <c r="W481" s="1">
        <f t="shared" si="41"/>
        <v>1</v>
      </c>
      <c r="X481" s="5" t="e">
        <f t="shared" si="42"/>
        <v>#DIV/0!</v>
      </c>
    </row>
    <row r="482" spans="1:24" ht="15" customHeight="1">
      <c r="A482" s="6">
        <v>46054</v>
      </c>
      <c r="B482" s="1" t="s">
        <v>49</v>
      </c>
      <c r="C482" s="1" t="s">
        <v>1344</v>
      </c>
      <c r="D482" s="1" t="s">
        <v>1383</v>
      </c>
      <c r="E482" s="1" t="s">
        <v>169</v>
      </c>
      <c r="F482" s="1" t="s">
        <v>1348</v>
      </c>
      <c r="G482" s="1" t="s">
        <v>1348</v>
      </c>
      <c r="H482" s="1" t="s">
        <v>54</v>
      </c>
      <c r="I482" s="2">
        <v>4</v>
      </c>
      <c r="J482" s="2">
        <v>-3</v>
      </c>
      <c r="K482" s="2">
        <v>0</v>
      </c>
      <c r="L482" s="2">
        <v>0</v>
      </c>
      <c r="M482" s="2">
        <v>0</v>
      </c>
      <c r="N482" s="2">
        <v>0</v>
      </c>
      <c r="O482" s="2">
        <v>-3</v>
      </c>
      <c r="P482" s="1" t="s">
        <v>1303</v>
      </c>
      <c r="Q482" s="1" t="s">
        <v>26</v>
      </c>
      <c r="R482" s="1" t="s">
        <v>55</v>
      </c>
      <c r="S482" s="1">
        <v>0</v>
      </c>
      <c r="T482" s="1">
        <v>0</v>
      </c>
      <c r="U482" s="1">
        <f t="shared" si="38"/>
        <v>0</v>
      </c>
      <c r="V482" s="1">
        <v>1</v>
      </c>
      <c r="W482" s="1">
        <f t="shared" ref="W482:W483" si="43">V482+U482</f>
        <v>1</v>
      </c>
      <c r="X482" s="5" t="e">
        <f t="shared" ref="X482:X483" si="44">100/U482*S482</f>
        <v>#DIV/0!</v>
      </c>
    </row>
    <row r="483" spans="1:24" ht="15" customHeight="1">
      <c r="A483" s="6">
        <v>46054</v>
      </c>
      <c r="B483" s="1" t="s">
        <v>49</v>
      </c>
      <c r="C483" s="1" t="s">
        <v>1344</v>
      </c>
      <c r="D483" s="1" t="s">
        <v>1384</v>
      </c>
      <c r="E483" s="1" t="s">
        <v>169</v>
      </c>
      <c r="F483" s="1" t="s">
        <v>1317</v>
      </c>
      <c r="G483" s="1" t="s">
        <v>1317</v>
      </c>
      <c r="H483" s="1" t="s">
        <v>54</v>
      </c>
      <c r="I483" s="2">
        <v>4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1" t="s">
        <v>1303</v>
      </c>
      <c r="Q483" s="1" t="s">
        <v>26</v>
      </c>
      <c r="R483" s="1" t="s">
        <v>55</v>
      </c>
      <c r="S483" s="1">
        <v>0</v>
      </c>
      <c r="T483" s="1">
        <v>0</v>
      </c>
      <c r="U483" s="1">
        <f t="shared" si="38"/>
        <v>0</v>
      </c>
      <c r="V483" s="1">
        <v>1</v>
      </c>
      <c r="W483" s="1">
        <f t="shared" si="43"/>
        <v>1</v>
      </c>
      <c r="X483" s="5" t="e">
        <f t="shared" si="44"/>
        <v>#DIV/0!</v>
      </c>
    </row>
    <row r="484" spans="1:24" ht="15" customHeight="1">
      <c r="A484" s="6">
        <v>46054</v>
      </c>
      <c r="B484" s="1" t="s">
        <v>61</v>
      </c>
      <c r="C484" s="1" t="s">
        <v>1344</v>
      </c>
      <c r="D484" s="1" t="s">
        <v>1385</v>
      </c>
      <c r="E484" s="1" t="s">
        <v>1386</v>
      </c>
      <c r="F484" s="1" t="s">
        <v>1387</v>
      </c>
      <c r="G484" s="1" t="s">
        <v>1351</v>
      </c>
      <c r="H484" s="1" t="s">
        <v>24</v>
      </c>
      <c r="I484" s="2">
        <v>7.46</v>
      </c>
      <c r="J484" s="2">
        <v>3928</v>
      </c>
      <c r="K484" s="2">
        <v>73218</v>
      </c>
      <c r="L484" s="2">
        <v>0</v>
      </c>
      <c r="M484" s="2">
        <v>0</v>
      </c>
      <c r="N484" s="2">
        <v>3103</v>
      </c>
      <c r="O484" s="2">
        <v>80249</v>
      </c>
      <c r="P484" s="1" t="s">
        <v>1314</v>
      </c>
      <c r="Q484" s="1" t="s">
        <v>35</v>
      </c>
      <c r="R484" s="1" t="s">
        <v>710</v>
      </c>
      <c r="S484" s="1">
        <v>0</v>
      </c>
      <c r="T484" s="1">
        <v>1</v>
      </c>
      <c r="U484" s="1">
        <f t="shared" si="38"/>
        <v>1</v>
      </c>
      <c r="V484" s="1">
        <v>0</v>
      </c>
      <c r="W484" s="1">
        <f t="shared" ref="W484" si="45">V484+U484</f>
        <v>1</v>
      </c>
      <c r="X484" s="5">
        <f t="shared" ref="X484" si="46">100/U484*S484</f>
        <v>0</v>
      </c>
    </row>
    <row r="485" spans="1:24" ht="15" customHeight="1">
      <c r="A485" s="6">
        <v>46054</v>
      </c>
      <c r="B485" s="1" t="s">
        <v>61</v>
      </c>
      <c r="C485" s="1" t="s">
        <v>1344</v>
      </c>
      <c r="D485" s="1" t="s">
        <v>1378</v>
      </c>
      <c r="E485" s="1" t="s">
        <v>1379</v>
      </c>
      <c r="F485" s="1" t="s">
        <v>1380</v>
      </c>
      <c r="G485" s="1" t="s">
        <v>1313</v>
      </c>
      <c r="H485" s="1" t="s">
        <v>24</v>
      </c>
      <c r="I485" s="2">
        <v>29.84</v>
      </c>
      <c r="J485" s="2">
        <v>11536</v>
      </c>
      <c r="K485" s="2">
        <v>18511</v>
      </c>
      <c r="L485" s="2">
        <v>0</v>
      </c>
      <c r="M485" s="2">
        <v>0</v>
      </c>
      <c r="N485" s="2">
        <v>785</v>
      </c>
      <c r="O485" s="2">
        <v>30832</v>
      </c>
      <c r="P485" s="1" t="s">
        <v>1314</v>
      </c>
      <c r="Q485" s="1" t="s">
        <v>35</v>
      </c>
      <c r="R485" s="1" t="s">
        <v>527</v>
      </c>
      <c r="S485" s="1">
        <v>0</v>
      </c>
      <c r="T485" s="1">
        <v>1</v>
      </c>
      <c r="U485" s="1">
        <f t="shared" ref="U485" si="47">T485+S485</f>
        <v>1</v>
      </c>
      <c r="V485" s="1">
        <v>0</v>
      </c>
      <c r="W485" s="1">
        <f t="shared" ref="W485" si="48">V485+U485</f>
        <v>1</v>
      </c>
      <c r="X485" s="5">
        <f t="shared" ref="X485:X486" si="49">100/U485*S485</f>
        <v>0</v>
      </c>
    </row>
    <row r="486" spans="1:24">
      <c r="A486" s="7"/>
      <c r="B486" s="8"/>
      <c r="C486" s="8"/>
      <c r="D486" s="8"/>
      <c r="E486" s="8"/>
      <c r="F486" s="8"/>
      <c r="G486" s="8"/>
      <c r="H486" s="9"/>
      <c r="I486" s="3">
        <f t="shared" ref="I486:W486" si="50">SUM(I2:I485)</f>
        <v>6619.8199999999988</v>
      </c>
      <c r="J486" s="3">
        <f t="shared" si="50"/>
        <v>3307659687.4099998</v>
      </c>
      <c r="K486" s="3">
        <f t="shared" si="50"/>
        <v>28306865.91</v>
      </c>
      <c r="L486" s="3">
        <f t="shared" si="50"/>
        <v>1910391</v>
      </c>
      <c r="M486" s="3">
        <f t="shared" si="50"/>
        <v>0</v>
      </c>
      <c r="N486" s="3">
        <f t="shared" si="50"/>
        <v>1700681</v>
      </c>
      <c r="O486" s="3">
        <f t="shared" si="50"/>
        <v>3335756843.3200006</v>
      </c>
      <c r="P486" s="3">
        <f t="shared" si="50"/>
        <v>0</v>
      </c>
      <c r="Q486" s="3">
        <f t="shared" si="50"/>
        <v>0</v>
      </c>
      <c r="R486" s="3">
        <f t="shared" si="50"/>
        <v>0</v>
      </c>
      <c r="S486" s="3">
        <f t="shared" si="50"/>
        <v>132</v>
      </c>
      <c r="T486" s="3">
        <f t="shared" si="50"/>
        <v>175</v>
      </c>
      <c r="U486" s="3">
        <f t="shared" si="50"/>
        <v>307</v>
      </c>
      <c r="V486" s="3">
        <f t="shared" si="50"/>
        <v>177</v>
      </c>
      <c r="W486" s="3">
        <f t="shared" si="50"/>
        <v>484</v>
      </c>
      <c r="X486" s="5">
        <f t="shared" si="49"/>
        <v>42.99674267100977</v>
      </c>
    </row>
  </sheetData>
  <autoFilter ref="A1:X486">
    <filterColumn colId="16"/>
    <filterColumn colId="19"/>
    <filterColumn colId="20"/>
  </autoFilter>
  <mergeCells count="1">
    <mergeCell ref="A486:H48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"/>
  <sheetViews>
    <sheetView workbookViewId="0"/>
  </sheetViews>
  <sheetFormatPr defaultRowHeight="15"/>
  <sheetData>
    <row r="2" spans="1:1">
      <c r="A2" t="s">
        <v>1388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RM TECH INFO</cp:lastModifiedBy>
  <dcterms:created xsi:type="dcterms:W3CDTF">2024-01-08T05:10:05Z</dcterms:created>
  <dcterms:modified xsi:type="dcterms:W3CDTF">2026-03-10T13:15:07Z</dcterms:modified>
</cp:coreProperties>
</file>