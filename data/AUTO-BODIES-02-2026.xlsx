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600" yWindow="495" windowWidth="13095" windowHeight="6090"/>
  </bookViews>
  <sheets>
    <sheet name="Sheet1" sheetId="3" r:id="rId1"/>
  </sheets>
  <definedNames>
    <definedName name="_xlnm._FilterDatabase" localSheetId="0" hidden="1">Sheet1!$A$1:$X$641</definedName>
  </definedNames>
  <calcPr calcId="124519"/>
</workbook>
</file>

<file path=xl/calcChain.xml><?xml version="1.0" encoding="utf-8"?>
<calcChain xmlns="http://schemas.openxmlformats.org/spreadsheetml/2006/main">
  <c r="U635" i="3"/>
  <c r="X635" s="1"/>
  <c r="U619"/>
  <c r="U607"/>
  <c r="X607" s="1"/>
  <c r="U603"/>
  <c r="X603" s="1"/>
  <c r="U602"/>
  <c r="W602" s="1"/>
  <c r="U572"/>
  <c r="W572" s="1"/>
  <c r="U548"/>
  <c r="W548" s="1"/>
  <c r="U547"/>
  <c r="W547" s="1"/>
  <c r="U546"/>
  <c r="W546" s="1"/>
  <c r="U545"/>
  <c r="W545" s="1"/>
  <c r="U544"/>
  <c r="W544" s="1"/>
  <c r="U543"/>
  <c r="W543" s="1"/>
  <c r="U542"/>
  <c r="W542" s="1"/>
  <c r="U540"/>
  <c r="W540" s="1"/>
  <c r="U539"/>
  <c r="W539" s="1"/>
  <c r="U538"/>
  <c r="W538" s="1"/>
  <c r="U537"/>
  <c r="W537" s="1"/>
  <c r="U536"/>
  <c r="W536" s="1"/>
  <c r="U534"/>
  <c r="W534" s="1"/>
  <c r="U533"/>
  <c r="W533" s="1"/>
  <c r="U532"/>
  <c r="W532" s="1"/>
  <c r="U531"/>
  <c r="W531" s="1"/>
  <c r="U530"/>
  <c r="W530" s="1"/>
  <c r="U528"/>
  <c r="W528" s="1"/>
  <c r="U527"/>
  <c r="W527" s="1"/>
  <c r="U526"/>
  <c r="W526" s="1"/>
  <c r="U498"/>
  <c r="X498" s="1"/>
  <c r="U494"/>
  <c r="W494" s="1"/>
  <c r="U481"/>
  <c r="W481" s="1"/>
  <c r="U440"/>
  <c r="W440" s="1"/>
  <c r="U424"/>
  <c r="W424" s="1"/>
  <c r="U402"/>
  <c r="W402" s="1"/>
  <c r="U396"/>
  <c r="W396" s="1"/>
  <c r="U395"/>
  <c r="W395" s="1"/>
  <c r="U387"/>
  <c r="W387" s="1"/>
  <c r="U381"/>
  <c r="U379"/>
  <c r="W379" s="1"/>
  <c r="U342"/>
  <c r="W342" s="1"/>
  <c r="U302"/>
  <c r="W302" s="1"/>
  <c r="U300"/>
  <c r="W300" s="1"/>
  <c r="U295"/>
  <c r="W295" s="1"/>
  <c r="U290"/>
  <c r="W290" s="1"/>
  <c r="U289"/>
  <c r="W289" s="1"/>
  <c r="U284"/>
  <c r="W284" s="1"/>
  <c r="U267"/>
  <c r="W267" s="1"/>
  <c r="U264"/>
  <c r="W264" s="1"/>
  <c r="U254"/>
  <c r="W254" s="1"/>
  <c r="U253"/>
  <c r="W253" s="1"/>
  <c r="U252"/>
  <c r="W252" s="1"/>
  <c r="U251"/>
  <c r="W251" s="1"/>
  <c r="U250"/>
  <c r="W250" s="1"/>
  <c r="U249"/>
  <c r="W249" s="1"/>
  <c r="U248"/>
  <c r="W248" s="1"/>
  <c r="U246"/>
  <c r="W246" s="1"/>
  <c r="U245"/>
  <c r="W245" s="1"/>
  <c r="U244"/>
  <c r="W244" s="1"/>
  <c r="U243"/>
  <c r="X243" s="1"/>
  <c r="U242"/>
  <c r="W242" s="1"/>
  <c r="U239"/>
  <c r="W239" s="1"/>
  <c r="U236"/>
  <c r="W236" s="1"/>
  <c r="U223"/>
  <c r="W223" s="1"/>
  <c r="U222"/>
  <c r="W222" s="1"/>
  <c r="U221"/>
  <c r="W221" s="1"/>
  <c r="U139"/>
  <c r="W139" s="1"/>
  <c r="U127"/>
  <c r="W127" s="1"/>
  <c r="U120"/>
  <c r="W120" s="1"/>
  <c r="U118"/>
  <c r="W118" s="1"/>
  <c r="U115"/>
  <c r="W115" s="1"/>
  <c r="U68"/>
  <c r="W68" s="1"/>
  <c r="U66"/>
  <c r="W66" s="1"/>
  <c r="U31"/>
  <c r="W31" s="1"/>
  <c r="U27"/>
  <c r="W27" s="1"/>
  <c r="U7"/>
  <c r="W7" s="1"/>
  <c r="P641"/>
  <c r="O641"/>
  <c r="N641"/>
  <c r="M641"/>
  <c r="L641"/>
  <c r="K641"/>
  <c r="J641"/>
  <c r="I641"/>
  <c r="V641"/>
  <c r="T641"/>
  <c r="S641"/>
  <c r="R641"/>
  <c r="Q641"/>
  <c r="B641"/>
  <c r="A641"/>
  <c r="U640"/>
  <c r="X640" s="1"/>
  <c r="U618"/>
  <c r="X618" s="1"/>
  <c r="U601"/>
  <c r="W601" s="1"/>
  <c r="U571"/>
  <c r="W571" s="1"/>
  <c r="U541"/>
  <c r="W541" s="1"/>
  <c r="U535"/>
  <c r="W535" s="1"/>
  <c r="U529"/>
  <c r="W529" s="1"/>
  <c r="U525"/>
  <c r="W525" s="1"/>
  <c r="U497"/>
  <c r="W497" s="1"/>
  <c r="U493"/>
  <c r="W493" s="1"/>
  <c r="U480"/>
  <c r="W480" s="1"/>
  <c r="U439"/>
  <c r="W439" s="1"/>
  <c r="U423"/>
  <c r="W423" s="1"/>
  <c r="U401"/>
  <c r="W401" s="1"/>
  <c r="U394"/>
  <c r="W394" s="1"/>
  <c r="U386"/>
  <c r="W386" s="1"/>
  <c r="U380"/>
  <c r="W380" s="1"/>
  <c r="U378"/>
  <c r="W378" s="1"/>
  <c r="U341"/>
  <c r="W341" s="1"/>
  <c r="U301"/>
  <c r="W301" s="1"/>
  <c r="U299"/>
  <c r="W299" s="1"/>
  <c r="U294"/>
  <c r="W294" s="1"/>
  <c r="U288"/>
  <c r="W288" s="1"/>
  <c r="U283"/>
  <c r="W283" s="1"/>
  <c r="U266"/>
  <c r="W266" s="1"/>
  <c r="U263"/>
  <c r="W263" s="1"/>
  <c r="U247"/>
  <c r="X247" s="1"/>
  <c r="U241"/>
  <c r="W241" s="1"/>
  <c r="U238"/>
  <c r="X238" s="1"/>
  <c r="U235"/>
  <c r="W235" s="1"/>
  <c r="U220"/>
  <c r="W220" s="1"/>
  <c r="U138"/>
  <c r="W138" s="1"/>
  <c r="U126"/>
  <c r="W126" s="1"/>
  <c r="U119"/>
  <c r="W119" s="1"/>
  <c r="U117"/>
  <c r="W117" s="1"/>
  <c r="U114"/>
  <c r="X114" s="1"/>
  <c r="U67"/>
  <c r="W67" s="1"/>
  <c r="W619"/>
  <c r="W381"/>
  <c r="U599"/>
  <c r="W599" s="1"/>
  <c r="U569"/>
  <c r="W569" s="1"/>
  <c r="U524"/>
  <c r="W524" s="1"/>
  <c r="U523"/>
  <c r="W523" s="1"/>
  <c r="U495"/>
  <c r="W495" s="1"/>
  <c r="U492"/>
  <c r="W492" s="1"/>
  <c r="U479"/>
  <c r="W479" s="1"/>
  <c r="U438"/>
  <c r="W438" s="1"/>
  <c r="U422"/>
  <c r="W422" s="1"/>
  <c r="U400"/>
  <c r="W400" s="1"/>
  <c r="U393"/>
  <c r="W393" s="1"/>
  <c r="U385"/>
  <c r="W385" s="1"/>
  <c r="U377"/>
  <c r="W377" s="1"/>
  <c r="U340"/>
  <c r="W340" s="1"/>
  <c r="U298"/>
  <c r="W298" s="1"/>
  <c r="U293"/>
  <c r="W293" s="1"/>
  <c r="U287"/>
  <c r="W287" s="1"/>
  <c r="U282"/>
  <c r="W282" s="1"/>
  <c r="U265"/>
  <c r="W265" s="1"/>
  <c r="U262"/>
  <c r="W262" s="1"/>
  <c r="U240"/>
  <c r="W240" s="1"/>
  <c r="U237"/>
  <c r="W237" s="1"/>
  <c r="U234"/>
  <c r="W234" s="1"/>
  <c r="U219"/>
  <c r="W219" s="1"/>
  <c r="U137"/>
  <c r="W137" s="1"/>
  <c r="U125"/>
  <c r="W125" s="1"/>
  <c r="U116"/>
  <c r="W116" s="1"/>
  <c r="U113"/>
  <c r="W113" s="1"/>
  <c r="U64"/>
  <c r="W64" s="1"/>
  <c r="U30"/>
  <c r="X30" s="1"/>
  <c r="U65"/>
  <c r="W65" s="1"/>
  <c r="U638"/>
  <c r="X638" s="1"/>
  <c r="U639"/>
  <c r="U615"/>
  <c r="X615" s="1"/>
  <c r="U596"/>
  <c r="W596" s="1"/>
  <c r="U566"/>
  <c r="W566" s="1"/>
  <c r="U522"/>
  <c r="W522" s="1"/>
  <c r="U521"/>
  <c r="W521" s="1"/>
  <c r="U520"/>
  <c r="W520" s="1"/>
  <c r="U489"/>
  <c r="W489" s="1"/>
  <c r="U476"/>
  <c r="W476" s="1"/>
  <c r="U435"/>
  <c r="W435" s="1"/>
  <c r="U419"/>
  <c r="W419" s="1"/>
  <c r="U397"/>
  <c r="W397" s="1"/>
  <c r="U391"/>
  <c r="W391" s="1"/>
  <c r="U390"/>
  <c r="W390" s="1"/>
  <c r="U382"/>
  <c r="W382" s="1"/>
  <c r="U376"/>
  <c r="W376" s="1"/>
  <c r="U26"/>
  <c r="W26" s="1"/>
  <c r="U636"/>
  <c r="X636" s="1"/>
  <c r="U637"/>
  <c r="W637" s="1"/>
  <c r="U609"/>
  <c r="X609" s="1"/>
  <c r="U590"/>
  <c r="W590" s="1"/>
  <c r="U560"/>
  <c r="W560" s="1"/>
  <c r="U519"/>
  <c r="W519" s="1"/>
  <c r="U517"/>
  <c r="W517" s="1"/>
  <c r="U516"/>
  <c r="W516" s="1"/>
  <c r="U515"/>
  <c r="W515" s="1"/>
  <c r="U487"/>
  <c r="W487" s="1"/>
  <c r="U484"/>
  <c r="W484" s="1"/>
  <c r="U471"/>
  <c r="W471" s="1"/>
  <c r="U430"/>
  <c r="W430" s="1"/>
  <c r="U416"/>
  <c r="W416" s="1"/>
  <c r="U388"/>
  <c r="W388" s="1"/>
  <c r="U372"/>
  <c r="W372" s="1"/>
  <c r="U338"/>
  <c r="W338" s="1"/>
  <c r="U296"/>
  <c r="W296" s="1"/>
  <c r="U291"/>
  <c r="W291" s="1"/>
  <c r="U286"/>
  <c r="W286" s="1"/>
  <c r="U285"/>
  <c r="W285" s="1"/>
  <c r="U280"/>
  <c r="W280" s="1"/>
  <c r="U260"/>
  <c r="W260" s="1"/>
  <c r="U232"/>
  <c r="X232" s="1"/>
  <c r="U218"/>
  <c r="W218" s="1"/>
  <c r="U217"/>
  <c r="W217" s="1"/>
  <c r="U135"/>
  <c r="W135" s="1"/>
  <c r="U124"/>
  <c r="W124" s="1"/>
  <c r="U374"/>
  <c r="W374" s="1"/>
  <c r="U634"/>
  <c r="W634" s="1"/>
  <c r="U633"/>
  <c r="W633" s="1"/>
  <c r="U632"/>
  <c r="X632" s="1"/>
  <c r="U631"/>
  <c r="W631" s="1"/>
  <c r="U630"/>
  <c r="W630" s="1"/>
  <c r="U629"/>
  <c r="W629" s="1"/>
  <c r="U112"/>
  <c r="W112" s="1"/>
  <c r="U628"/>
  <c r="W628" s="1"/>
  <c r="U627"/>
  <c r="X627" s="1"/>
  <c r="U626"/>
  <c r="W626" s="1"/>
  <c r="U625"/>
  <c r="X625" s="1"/>
  <c r="U624"/>
  <c r="W624" s="1"/>
  <c r="U623"/>
  <c r="X623" s="1"/>
  <c r="U622"/>
  <c r="W622" s="1"/>
  <c r="U589"/>
  <c r="W589" s="1"/>
  <c r="U559"/>
  <c r="W559" s="1"/>
  <c r="U518"/>
  <c r="W518" s="1"/>
  <c r="U514"/>
  <c r="X514" s="1"/>
  <c r="U486"/>
  <c r="W486" s="1"/>
  <c r="U483"/>
  <c r="W483" s="1"/>
  <c r="U470"/>
  <c r="W470" s="1"/>
  <c r="U429"/>
  <c r="W429" s="1"/>
  <c r="U415"/>
  <c r="W415" s="1"/>
  <c r="U371"/>
  <c r="W371" s="1"/>
  <c r="U337"/>
  <c r="W337" s="1"/>
  <c r="U297"/>
  <c r="W297" s="1"/>
  <c r="U279"/>
  <c r="W279" s="1"/>
  <c r="U259"/>
  <c r="W259" s="1"/>
  <c r="U231"/>
  <c r="W231" s="1"/>
  <c r="U216"/>
  <c r="W216" s="1"/>
  <c r="U134"/>
  <c r="W134" s="1"/>
  <c r="U123"/>
  <c r="W123" s="1"/>
  <c r="U111"/>
  <c r="W111" s="1"/>
  <c r="U621"/>
  <c r="X621" s="1"/>
  <c r="U584"/>
  <c r="W584" s="1"/>
  <c r="U554"/>
  <c r="W554" s="1"/>
  <c r="U513"/>
  <c r="W513" s="1"/>
  <c r="U511"/>
  <c r="W511" s="1"/>
  <c r="U510"/>
  <c r="X510" s="1"/>
  <c r="U509"/>
  <c r="W509" s="1"/>
  <c r="U478"/>
  <c r="W478" s="1"/>
  <c r="U465"/>
  <c r="W465" s="1"/>
  <c r="U383"/>
  <c r="W383" s="1"/>
  <c r="U375"/>
  <c r="W375" s="1"/>
  <c r="U367"/>
  <c r="W367" s="1"/>
  <c r="U333"/>
  <c r="W333" s="1"/>
  <c r="U257"/>
  <c r="W257" s="1"/>
  <c r="U229"/>
  <c r="W229" s="1"/>
  <c r="U215"/>
  <c r="W215" s="1"/>
  <c r="U63"/>
  <c r="W63" s="1"/>
  <c r="U620"/>
  <c r="X620" s="1"/>
  <c r="U617"/>
  <c r="W617" s="1"/>
  <c r="U616"/>
  <c r="X616" s="1"/>
  <c r="U594"/>
  <c r="W594" s="1"/>
  <c r="U582"/>
  <c r="W582" s="1"/>
  <c r="U552"/>
  <c r="W552" s="1"/>
  <c r="U512"/>
  <c r="W512" s="1"/>
  <c r="U508"/>
  <c r="W508" s="1"/>
  <c r="U507"/>
  <c r="W507" s="1"/>
  <c r="U463"/>
  <c r="W463" s="1"/>
  <c r="U373"/>
  <c r="W373" s="1"/>
  <c r="U365"/>
  <c r="W365" s="1"/>
  <c r="U214"/>
  <c r="X214" s="1"/>
  <c r="U614"/>
  <c r="W614" s="1"/>
  <c r="U593"/>
  <c r="W593" s="1"/>
  <c r="U581"/>
  <c r="W581" s="1"/>
  <c r="U331"/>
  <c r="W331" s="1"/>
  <c r="U613"/>
  <c r="W613" s="1"/>
  <c r="U592"/>
  <c r="W592" s="1"/>
  <c r="U580"/>
  <c r="W580" s="1"/>
  <c r="U550"/>
  <c r="W550" s="1"/>
  <c r="U506"/>
  <c r="W506" s="1"/>
  <c r="U475"/>
  <c r="W475" s="1"/>
  <c r="U462"/>
  <c r="W462" s="1"/>
  <c r="U364"/>
  <c r="W364" s="1"/>
  <c r="U330"/>
  <c r="W330" s="1"/>
  <c r="U292"/>
  <c r="W292" s="1"/>
  <c r="U256"/>
  <c r="W256" s="1"/>
  <c r="U228"/>
  <c r="W228" s="1"/>
  <c r="U213"/>
  <c r="W213" s="1"/>
  <c r="U133"/>
  <c r="W133" s="1"/>
  <c r="U122"/>
  <c r="W122" s="1"/>
  <c r="U551"/>
  <c r="W551" s="1"/>
  <c r="U612"/>
  <c r="X612" s="1"/>
  <c r="U591"/>
  <c r="W591" s="1"/>
  <c r="U579"/>
  <c r="W579" s="1"/>
  <c r="U549"/>
  <c r="W549" s="1"/>
  <c r="U505"/>
  <c r="W505" s="1"/>
  <c r="U477"/>
  <c r="W477" s="1"/>
  <c r="U474"/>
  <c r="W474" s="1"/>
  <c r="U461"/>
  <c r="W461" s="1"/>
  <c r="U363"/>
  <c r="W363" s="1"/>
  <c r="U329"/>
  <c r="W329" s="1"/>
  <c r="U258"/>
  <c r="W258" s="1"/>
  <c r="U255"/>
  <c r="W255" s="1"/>
  <c r="U233"/>
  <c r="W233" s="1"/>
  <c r="U230"/>
  <c r="W230" s="1"/>
  <c r="U227"/>
  <c r="W227" s="1"/>
  <c r="U212"/>
  <c r="W212" s="1"/>
  <c r="U132"/>
  <c r="W132" s="1"/>
  <c r="U121"/>
  <c r="W121" s="1"/>
  <c r="U109"/>
  <c r="W109" s="1"/>
  <c r="U62"/>
  <c r="W62" s="1"/>
  <c r="U29"/>
  <c r="W29" s="1"/>
  <c r="U110"/>
  <c r="W110" s="1"/>
  <c r="U611"/>
  <c r="X611" s="1"/>
  <c r="U25"/>
  <c r="W25" s="1"/>
  <c r="U585"/>
  <c r="W585" s="1"/>
  <c r="U504"/>
  <c r="W504" s="1"/>
  <c r="U503"/>
  <c r="W503" s="1"/>
  <c r="U501"/>
  <c r="W501" s="1"/>
  <c r="U500"/>
  <c r="W500" s="1"/>
  <c r="U499"/>
  <c r="W499" s="1"/>
  <c r="U468"/>
  <c r="X468" s="1"/>
  <c r="U457"/>
  <c r="W457" s="1"/>
  <c r="U359"/>
  <c r="W359" s="1"/>
  <c r="U325"/>
  <c r="W325" s="1"/>
  <c r="U224"/>
  <c r="W224" s="1"/>
  <c r="U211"/>
  <c r="W211" s="1"/>
  <c r="U210"/>
  <c r="W210" s="1"/>
  <c r="U209"/>
  <c r="W209" s="1"/>
  <c r="U129"/>
  <c r="W129" s="1"/>
  <c r="U106"/>
  <c r="W106" s="1"/>
  <c r="U610"/>
  <c r="W610" s="1"/>
  <c r="U608"/>
  <c r="W608" s="1"/>
  <c r="U606"/>
  <c r="W606" s="1"/>
  <c r="U605"/>
  <c r="W605" s="1"/>
  <c r="U502"/>
  <c r="W502" s="1"/>
  <c r="U604"/>
  <c r="W604" s="1"/>
  <c r="U578"/>
  <c r="W578" s="1"/>
  <c r="U496"/>
  <c r="W496" s="1"/>
  <c r="U464"/>
  <c r="W464" s="1"/>
  <c r="U454"/>
  <c r="W454" s="1"/>
  <c r="U356"/>
  <c r="W356" s="1"/>
  <c r="U323"/>
  <c r="W323" s="1"/>
  <c r="U128"/>
  <c r="W128" s="1"/>
  <c r="U108"/>
  <c r="W108" s="1"/>
  <c r="U105"/>
  <c r="W105" s="1"/>
  <c r="U467"/>
  <c r="W467" s="1"/>
  <c r="U600"/>
  <c r="X600" s="1"/>
  <c r="U598"/>
  <c r="W598" s="1"/>
  <c r="U597"/>
  <c r="W597" s="1"/>
  <c r="U595"/>
  <c r="W595" s="1"/>
  <c r="U588"/>
  <c r="W588" s="1"/>
  <c r="U587"/>
  <c r="W587" s="1"/>
  <c r="U586"/>
  <c r="W586" s="1"/>
  <c r="U583"/>
  <c r="W583" s="1"/>
  <c r="U577"/>
  <c r="W577" s="1"/>
  <c r="U576"/>
  <c r="W576" s="1"/>
  <c r="U575"/>
  <c r="W575" s="1"/>
  <c r="U574"/>
  <c r="W574" s="1"/>
  <c r="U573"/>
  <c r="W573" s="1"/>
  <c r="U570"/>
  <c r="W570" s="1"/>
  <c r="U568"/>
  <c r="W568" s="1"/>
  <c r="U567"/>
  <c r="W567" s="1"/>
  <c r="U565"/>
  <c r="W565" s="1"/>
  <c r="U564"/>
  <c r="W564" s="1"/>
  <c r="U563"/>
  <c r="W563" s="1"/>
  <c r="U562"/>
  <c r="W562" s="1"/>
  <c r="U561"/>
  <c r="W561" s="1"/>
  <c r="U558"/>
  <c r="W558" s="1"/>
  <c r="U557"/>
  <c r="W557" s="1"/>
  <c r="U556"/>
  <c r="W556" s="1"/>
  <c r="U555"/>
  <c r="W555" s="1"/>
  <c r="U553"/>
  <c r="W553" s="1"/>
  <c r="U491"/>
  <c r="W491" s="1"/>
  <c r="U490"/>
  <c r="W490" s="1"/>
  <c r="U488"/>
  <c r="W488" s="1"/>
  <c r="U485"/>
  <c r="W485" s="1"/>
  <c r="U482"/>
  <c r="W482" s="1"/>
  <c r="U473"/>
  <c r="W473" s="1"/>
  <c r="U472"/>
  <c r="W472" s="1"/>
  <c r="U469"/>
  <c r="W469" s="1"/>
  <c r="U466"/>
  <c r="W466" s="1"/>
  <c r="U460"/>
  <c r="W460" s="1"/>
  <c r="U459"/>
  <c r="W459" s="1"/>
  <c r="U458"/>
  <c r="W458" s="1"/>
  <c r="U456"/>
  <c r="W456" s="1"/>
  <c r="U455"/>
  <c r="W455" s="1"/>
  <c r="U453"/>
  <c r="W453" s="1"/>
  <c r="U452"/>
  <c r="W452" s="1"/>
  <c r="U451"/>
  <c r="W451" s="1"/>
  <c r="U450"/>
  <c r="W450" s="1"/>
  <c r="U449"/>
  <c r="W449" s="1"/>
  <c r="U448"/>
  <c r="W448" s="1"/>
  <c r="U447"/>
  <c r="W447" s="1"/>
  <c r="U446"/>
  <c r="W446" s="1"/>
  <c r="U445"/>
  <c r="W445" s="1"/>
  <c r="U444"/>
  <c r="W444" s="1"/>
  <c r="U443"/>
  <c r="W443" s="1"/>
  <c r="U442"/>
  <c r="W442" s="1"/>
  <c r="U441"/>
  <c r="W441" s="1"/>
  <c r="U437"/>
  <c r="W437" s="1"/>
  <c r="U436"/>
  <c r="W436" s="1"/>
  <c r="U434"/>
  <c r="W434" s="1"/>
  <c r="U433"/>
  <c r="W433" s="1"/>
  <c r="U432"/>
  <c r="W432" s="1"/>
  <c r="U431"/>
  <c r="W431" s="1"/>
  <c r="U428"/>
  <c r="W428" s="1"/>
  <c r="U427"/>
  <c r="W427" s="1"/>
  <c r="U426"/>
  <c r="W426" s="1"/>
  <c r="U425"/>
  <c r="W425" s="1"/>
  <c r="U421"/>
  <c r="W421" s="1"/>
  <c r="U420"/>
  <c r="W420" s="1"/>
  <c r="U418"/>
  <c r="W418" s="1"/>
  <c r="U417"/>
  <c r="W417" s="1"/>
  <c r="U414"/>
  <c r="W414" s="1"/>
  <c r="U413"/>
  <c r="W413" s="1"/>
  <c r="U412"/>
  <c r="W412" s="1"/>
  <c r="U411"/>
  <c r="W411" s="1"/>
  <c r="U410"/>
  <c r="W410" s="1"/>
  <c r="U409"/>
  <c r="W409" s="1"/>
  <c r="U408"/>
  <c r="W408" s="1"/>
  <c r="U407"/>
  <c r="W407" s="1"/>
  <c r="U406"/>
  <c r="W406" s="1"/>
  <c r="U405"/>
  <c r="W405" s="1"/>
  <c r="U404"/>
  <c r="W404" s="1"/>
  <c r="U403"/>
  <c r="W403" s="1"/>
  <c r="U399"/>
  <c r="W399" s="1"/>
  <c r="U398"/>
  <c r="W398" s="1"/>
  <c r="U392"/>
  <c r="W392" s="1"/>
  <c r="U389"/>
  <c r="W389" s="1"/>
  <c r="U384"/>
  <c r="W384" s="1"/>
  <c r="U370"/>
  <c r="W370" s="1"/>
  <c r="U369"/>
  <c r="W369" s="1"/>
  <c r="U368"/>
  <c r="W368" s="1"/>
  <c r="U366"/>
  <c r="W366" s="1"/>
  <c r="U362"/>
  <c r="W362" s="1"/>
  <c r="U361"/>
  <c r="W361" s="1"/>
  <c r="U360"/>
  <c r="W360" s="1"/>
  <c r="U358"/>
  <c r="W358" s="1"/>
  <c r="U357"/>
  <c r="W357" s="1"/>
  <c r="U355"/>
  <c r="W355" s="1"/>
  <c r="U354"/>
  <c r="W354" s="1"/>
  <c r="U353"/>
  <c r="W353" s="1"/>
  <c r="U352"/>
  <c r="W352" s="1"/>
  <c r="U351"/>
  <c r="W351" s="1"/>
  <c r="U350"/>
  <c r="W350" s="1"/>
  <c r="U349"/>
  <c r="W349" s="1"/>
  <c r="U348"/>
  <c r="W348" s="1"/>
  <c r="U347"/>
  <c r="W347" s="1"/>
  <c r="U346"/>
  <c r="W346" s="1"/>
  <c r="U345"/>
  <c r="W345" s="1"/>
  <c r="U344"/>
  <c r="W344" s="1"/>
  <c r="U343"/>
  <c r="W343" s="1"/>
  <c r="U339"/>
  <c r="W339" s="1"/>
  <c r="U336"/>
  <c r="W336" s="1"/>
  <c r="U335"/>
  <c r="W335" s="1"/>
  <c r="U334"/>
  <c r="W334" s="1"/>
  <c r="U332"/>
  <c r="W332" s="1"/>
  <c r="U328"/>
  <c r="W328" s="1"/>
  <c r="U327"/>
  <c r="W327" s="1"/>
  <c r="U326"/>
  <c r="W326" s="1"/>
  <c r="U324"/>
  <c r="W324" s="1"/>
  <c r="U322"/>
  <c r="W322" s="1"/>
  <c r="U321"/>
  <c r="W321" s="1"/>
  <c r="U320"/>
  <c r="W320" s="1"/>
  <c r="U319"/>
  <c r="W319" s="1"/>
  <c r="U318"/>
  <c r="W318" s="1"/>
  <c r="U317"/>
  <c r="W317" s="1"/>
  <c r="U316"/>
  <c r="W316" s="1"/>
  <c r="U315"/>
  <c r="W315" s="1"/>
  <c r="U314"/>
  <c r="W314" s="1"/>
  <c r="U313"/>
  <c r="W313" s="1"/>
  <c r="U312"/>
  <c r="W312" s="1"/>
  <c r="U311"/>
  <c r="W311" s="1"/>
  <c r="U310"/>
  <c r="W310" s="1"/>
  <c r="U309"/>
  <c r="W309" s="1"/>
  <c r="U308"/>
  <c r="W308" s="1"/>
  <c r="U307"/>
  <c r="W307" s="1"/>
  <c r="U306"/>
  <c r="W306" s="1"/>
  <c r="U305"/>
  <c r="W305" s="1"/>
  <c r="U304"/>
  <c r="W304" s="1"/>
  <c r="U303"/>
  <c r="W303" s="1"/>
  <c r="U281"/>
  <c r="W281" s="1"/>
  <c r="U278"/>
  <c r="W278" s="1"/>
  <c r="U277"/>
  <c r="W277" s="1"/>
  <c r="U276"/>
  <c r="W276" s="1"/>
  <c r="U275"/>
  <c r="W275" s="1"/>
  <c r="U274"/>
  <c r="W274" s="1"/>
  <c r="U273"/>
  <c r="W273" s="1"/>
  <c r="U272"/>
  <c r="W272" s="1"/>
  <c r="U271"/>
  <c r="W271" s="1"/>
  <c r="U270"/>
  <c r="W270" s="1"/>
  <c r="U269"/>
  <c r="W269" s="1"/>
  <c r="U268"/>
  <c r="W268" s="1"/>
  <c r="U261"/>
  <c r="W261" s="1"/>
  <c r="U226"/>
  <c r="W226" s="1"/>
  <c r="U225"/>
  <c r="W225" s="1"/>
  <c r="U208"/>
  <c r="W208" s="1"/>
  <c r="U207"/>
  <c r="W207" s="1"/>
  <c r="U206"/>
  <c r="W206" s="1"/>
  <c r="U205"/>
  <c r="W205" s="1"/>
  <c r="U204"/>
  <c r="W204" s="1"/>
  <c r="U203"/>
  <c r="W203" s="1"/>
  <c r="U202"/>
  <c r="W202" s="1"/>
  <c r="U201"/>
  <c r="W201" s="1"/>
  <c r="U200"/>
  <c r="W200" s="1"/>
  <c r="U199"/>
  <c r="W199" s="1"/>
  <c r="U198"/>
  <c r="W198" s="1"/>
  <c r="U197"/>
  <c r="W197" s="1"/>
  <c r="U196"/>
  <c r="W196" s="1"/>
  <c r="U195"/>
  <c r="W195" s="1"/>
  <c r="U194"/>
  <c r="W194" s="1"/>
  <c r="U193"/>
  <c r="W193" s="1"/>
  <c r="U192"/>
  <c r="W192" s="1"/>
  <c r="U191"/>
  <c r="W191" s="1"/>
  <c r="U190"/>
  <c r="W190" s="1"/>
  <c r="U189"/>
  <c r="W189" s="1"/>
  <c r="U188"/>
  <c r="W188" s="1"/>
  <c r="U187"/>
  <c r="W187" s="1"/>
  <c r="U186"/>
  <c r="W186" s="1"/>
  <c r="U185"/>
  <c r="W185" s="1"/>
  <c r="U184"/>
  <c r="W184" s="1"/>
  <c r="U183"/>
  <c r="W183" s="1"/>
  <c r="U182"/>
  <c r="W182" s="1"/>
  <c r="U181"/>
  <c r="W181" s="1"/>
  <c r="U180"/>
  <c r="W180" s="1"/>
  <c r="U179"/>
  <c r="W179" s="1"/>
  <c r="U178"/>
  <c r="W178" s="1"/>
  <c r="U177"/>
  <c r="W177" s="1"/>
  <c r="U176"/>
  <c r="W176" s="1"/>
  <c r="U175"/>
  <c r="W175" s="1"/>
  <c r="U174"/>
  <c r="W174" s="1"/>
  <c r="U173"/>
  <c r="W173" s="1"/>
  <c r="U172"/>
  <c r="W172" s="1"/>
  <c r="U171"/>
  <c r="W171" s="1"/>
  <c r="U170"/>
  <c r="W170" s="1"/>
  <c r="U169"/>
  <c r="W169" s="1"/>
  <c r="U168"/>
  <c r="W168" s="1"/>
  <c r="U167"/>
  <c r="W167" s="1"/>
  <c r="U166"/>
  <c r="W166" s="1"/>
  <c r="U165"/>
  <c r="W165" s="1"/>
  <c r="U164"/>
  <c r="W164" s="1"/>
  <c r="U163"/>
  <c r="W163" s="1"/>
  <c r="U162"/>
  <c r="W162" s="1"/>
  <c r="U161"/>
  <c r="W161" s="1"/>
  <c r="U160"/>
  <c r="W160" s="1"/>
  <c r="U159"/>
  <c r="W159" s="1"/>
  <c r="U158"/>
  <c r="W158" s="1"/>
  <c r="U157"/>
  <c r="W157" s="1"/>
  <c r="U156"/>
  <c r="W156" s="1"/>
  <c r="U155"/>
  <c r="W155" s="1"/>
  <c r="U154"/>
  <c r="W154" s="1"/>
  <c r="U153"/>
  <c r="W153" s="1"/>
  <c r="U152"/>
  <c r="W152" s="1"/>
  <c r="U151"/>
  <c r="W151" s="1"/>
  <c r="U150"/>
  <c r="W150" s="1"/>
  <c r="U149"/>
  <c r="W149" s="1"/>
  <c r="U148"/>
  <c r="W148" s="1"/>
  <c r="U147"/>
  <c r="W147" s="1"/>
  <c r="U146"/>
  <c r="W146" s="1"/>
  <c r="U145"/>
  <c r="W145" s="1"/>
  <c r="U144"/>
  <c r="W144" s="1"/>
  <c r="U143"/>
  <c r="W143" s="1"/>
  <c r="U142"/>
  <c r="W142" s="1"/>
  <c r="U141"/>
  <c r="W141" s="1"/>
  <c r="U140"/>
  <c r="W140" s="1"/>
  <c r="U136"/>
  <c r="W136" s="1"/>
  <c r="U131"/>
  <c r="W131" s="1"/>
  <c r="U130"/>
  <c r="W130" s="1"/>
  <c r="U107"/>
  <c r="W107" s="1"/>
  <c r="U104"/>
  <c r="W104" s="1"/>
  <c r="U103"/>
  <c r="W103" s="1"/>
  <c r="U102"/>
  <c r="W102" s="1"/>
  <c r="U101"/>
  <c r="W101" s="1"/>
  <c r="U100"/>
  <c r="W100" s="1"/>
  <c r="U99"/>
  <c r="W99" s="1"/>
  <c r="U98"/>
  <c r="W98" s="1"/>
  <c r="U97"/>
  <c r="W97" s="1"/>
  <c r="U96"/>
  <c r="W96" s="1"/>
  <c r="U95"/>
  <c r="W95" s="1"/>
  <c r="U94"/>
  <c r="W94" s="1"/>
  <c r="U93"/>
  <c r="W93" s="1"/>
  <c r="U92"/>
  <c r="W92" s="1"/>
  <c r="U91"/>
  <c r="W91" s="1"/>
  <c r="U90"/>
  <c r="W90" s="1"/>
  <c r="U89"/>
  <c r="W89" s="1"/>
  <c r="U88"/>
  <c r="W88" s="1"/>
  <c r="U87"/>
  <c r="W87" s="1"/>
  <c r="U86"/>
  <c r="W86" s="1"/>
  <c r="U85"/>
  <c r="W85" s="1"/>
  <c r="U84"/>
  <c r="W84" s="1"/>
  <c r="U83"/>
  <c r="W83" s="1"/>
  <c r="U82"/>
  <c r="W82" s="1"/>
  <c r="U81"/>
  <c r="W81" s="1"/>
  <c r="U80"/>
  <c r="W80" s="1"/>
  <c r="U79"/>
  <c r="W79" s="1"/>
  <c r="U78"/>
  <c r="W78" s="1"/>
  <c r="U77"/>
  <c r="W77" s="1"/>
  <c r="U76"/>
  <c r="W76" s="1"/>
  <c r="U75"/>
  <c r="W75" s="1"/>
  <c r="U74"/>
  <c r="W74" s="1"/>
  <c r="U73"/>
  <c r="W73" s="1"/>
  <c r="U72"/>
  <c r="W72" s="1"/>
  <c r="U71"/>
  <c r="W71" s="1"/>
  <c r="U70"/>
  <c r="W70" s="1"/>
  <c r="U69"/>
  <c r="W69" s="1"/>
  <c r="U60"/>
  <c r="W60" s="1"/>
  <c r="U59"/>
  <c r="W59" s="1"/>
  <c r="U58"/>
  <c r="W58" s="1"/>
  <c r="U57"/>
  <c r="W57" s="1"/>
  <c r="U56"/>
  <c r="W56" s="1"/>
  <c r="U55"/>
  <c r="W55" s="1"/>
  <c r="U54"/>
  <c r="W54" s="1"/>
  <c r="U53"/>
  <c r="W53" s="1"/>
  <c r="U52"/>
  <c r="W52" s="1"/>
  <c r="U51"/>
  <c r="W51" s="1"/>
  <c r="U50"/>
  <c r="W50" s="1"/>
  <c r="U49"/>
  <c r="W49" s="1"/>
  <c r="U48"/>
  <c r="W48" s="1"/>
  <c r="U47"/>
  <c r="W47" s="1"/>
  <c r="U46"/>
  <c r="W46" s="1"/>
  <c r="U45"/>
  <c r="W45" s="1"/>
  <c r="U44"/>
  <c r="W44" s="1"/>
  <c r="U43"/>
  <c r="W43" s="1"/>
  <c r="U42"/>
  <c r="W42" s="1"/>
  <c r="U41"/>
  <c r="W41" s="1"/>
  <c r="U40"/>
  <c r="W40" s="1"/>
  <c r="U39"/>
  <c r="W39" s="1"/>
  <c r="U38"/>
  <c r="W38" s="1"/>
  <c r="U37"/>
  <c r="W37" s="1"/>
  <c r="U36"/>
  <c r="W36" s="1"/>
  <c r="U35"/>
  <c r="W35" s="1"/>
  <c r="U34"/>
  <c r="W34" s="1"/>
  <c r="U33"/>
  <c r="W33" s="1"/>
  <c r="U32"/>
  <c r="W32" s="1"/>
  <c r="U28"/>
  <c r="W28" s="1"/>
  <c r="U24"/>
  <c r="W24" s="1"/>
  <c r="U23"/>
  <c r="W23" s="1"/>
  <c r="U22"/>
  <c r="W22" s="1"/>
  <c r="U21"/>
  <c r="W21" s="1"/>
  <c r="U20"/>
  <c r="W20" s="1"/>
  <c r="U19"/>
  <c r="W19" s="1"/>
  <c r="U18"/>
  <c r="W18" s="1"/>
  <c r="U17"/>
  <c r="W17" s="1"/>
  <c r="U16"/>
  <c r="W16" s="1"/>
  <c r="U15"/>
  <c r="W15" s="1"/>
  <c r="U14"/>
  <c r="W14" s="1"/>
  <c r="U13"/>
  <c r="W13" s="1"/>
  <c r="U12"/>
  <c r="W12" s="1"/>
  <c r="U11"/>
  <c r="W11" s="1"/>
  <c r="U10"/>
  <c r="W10" s="1"/>
  <c r="U9"/>
  <c r="W9" s="1"/>
  <c r="U8"/>
  <c r="W8" s="1"/>
  <c r="U6"/>
  <c r="W6" s="1"/>
  <c r="U5"/>
  <c r="W5" s="1"/>
  <c r="U4"/>
  <c r="W4" s="1"/>
  <c r="U3"/>
  <c r="W3" s="1"/>
  <c r="U61"/>
  <c r="W61" s="1"/>
  <c r="U2"/>
  <c r="W2" s="1"/>
  <c r="X252" l="1"/>
  <c r="W498"/>
  <c r="U641"/>
  <c r="X641" s="1"/>
  <c r="W640"/>
  <c r="W638"/>
  <c r="X639"/>
  <c r="W639"/>
  <c r="X637"/>
  <c r="W636"/>
  <c r="W635"/>
  <c r="W632"/>
  <c r="X634"/>
  <c r="X630"/>
  <c r="X629"/>
  <c r="X633"/>
  <c r="X631"/>
  <c r="W627"/>
  <c r="W625"/>
  <c r="W623"/>
  <c r="X628"/>
  <c r="X624"/>
  <c r="X622"/>
  <c r="X626"/>
  <c r="W621"/>
  <c r="X32"/>
  <c r="X323"/>
  <c r="X329"/>
  <c r="X334"/>
  <c r="X348"/>
  <c r="X352"/>
  <c r="X356"/>
  <c r="X390"/>
  <c r="X394"/>
  <c r="X398"/>
  <c r="X402"/>
  <c r="X407"/>
  <c r="X441"/>
  <c r="X445"/>
  <c r="X449"/>
  <c r="X453"/>
  <c r="X490"/>
  <c r="X494"/>
  <c r="X499"/>
  <c r="X505"/>
  <c r="X537"/>
  <c r="X563"/>
  <c r="X567"/>
  <c r="X571"/>
  <c r="X605"/>
  <c r="X619"/>
  <c r="X31"/>
  <c r="X36"/>
  <c r="X328"/>
  <c r="X332"/>
  <c r="X346"/>
  <c r="X351"/>
  <c r="X355"/>
  <c r="X389"/>
  <c r="X393"/>
  <c r="X397"/>
  <c r="X401"/>
  <c r="X405"/>
  <c r="X440"/>
  <c r="X444"/>
  <c r="X448"/>
  <c r="X452"/>
  <c r="X489"/>
  <c r="X493"/>
  <c r="X497"/>
  <c r="X504"/>
  <c r="X512"/>
  <c r="X562"/>
  <c r="X566"/>
  <c r="X570"/>
  <c r="X575"/>
  <c r="X610"/>
  <c r="X614"/>
  <c r="X29"/>
  <c r="X35"/>
  <c r="X326"/>
  <c r="X331"/>
  <c r="X336"/>
  <c r="X350"/>
  <c r="X354"/>
  <c r="X388"/>
  <c r="X392"/>
  <c r="X396"/>
  <c r="X400"/>
  <c r="X404"/>
  <c r="X439"/>
  <c r="X443"/>
  <c r="X447"/>
  <c r="X451"/>
  <c r="X487"/>
  <c r="X492"/>
  <c r="X496"/>
  <c r="X503"/>
  <c r="X507"/>
  <c r="X561"/>
  <c r="X565"/>
  <c r="X569"/>
  <c r="X573"/>
  <c r="X608"/>
  <c r="X613"/>
  <c r="X33"/>
  <c r="X325"/>
  <c r="X330"/>
  <c r="X335"/>
  <c r="X349"/>
  <c r="X353"/>
  <c r="X358"/>
  <c r="X391"/>
  <c r="X395"/>
  <c r="X399"/>
  <c r="X403"/>
  <c r="X408"/>
  <c r="X442"/>
  <c r="X446"/>
  <c r="X450"/>
  <c r="X454"/>
  <c r="X491"/>
  <c r="X495"/>
  <c r="X501"/>
  <c r="X506"/>
  <c r="X560"/>
  <c r="X564"/>
  <c r="X568"/>
  <c r="X572"/>
  <c r="X606"/>
  <c r="X322"/>
  <c r="X288"/>
  <c r="X289"/>
  <c r="X296"/>
  <c r="X295"/>
  <c r="X287"/>
  <c r="X286"/>
  <c r="X285"/>
  <c r="X283"/>
  <c r="X233"/>
  <c r="X230"/>
  <c r="X210"/>
  <c r="X113"/>
  <c r="X112"/>
  <c r="X110"/>
  <c r="X109"/>
  <c r="X108"/>
  <c r="X107"/>
  <c r="X34"/>
  <c r="X28"/>
  <c r="W616"/>
  <c r="W618"/>
  <c r="X617"/>
  <c r="W620"/>
  <c r="W510"/>
  <c r="W232"/>
  <c r="W214"/>
  <c r="W247"/>
  <c r="W114"/>
  <c r="W243"/>
  <c r="W30"/>
  <c r="W238"/>
  <c r="W514"/>
  <c r="X7"/>
  <c r="X65"/>
  <c r="X123"/>
  <c r="X216"/>
  <c r="X236"/>
  <c r="X241"/>
  <c r="X245"/>
  <c r="X260"/>
  <c r="X513"/>
  <c r="X2"/>
  <c r="X63"/>
  <c r="X116"/>
  <c r="X215"/>
  <c r="X235"/>
  <c r="X239"/>
  <c r="X244"/>
  <c r="X257"/>
  <c r="X511"/>
  <c r="X516"/>
  <c r="X515"/>
  <c r="X26"/>
  <c r="X111"/>
  <c r="X134"/>
  <c r="X229"/>
  <c r="X237"/>
  <c r="X242"/>
  <c r="X246"/>
  <c r="W615"/>
  <c r="X234"/>
  <c r="W612"/>
  <c r="W611"/>
  <c r="W468"/>
  <c r="W607"/>
  <c r="W609"/>
  <c r="X604"/>
  <c r="W603"/>
  <c r="X602"/>
  <c r="X599"/>
  <c r="X15"/>
  <c r="X49"/>
  <c r="X67"/>
  <c r="X83"/>
  <c r="X99"/>
  <c r="X119"/>
  <c r="X136"/>
  <c r="X152"/>
  <c r="X168"/>
  <c r="X184"/>
  <c r="X200"/>
  <c r="X219"/>
  <c r="X249"/>
  <c r="X267"/>
  <c r="X300"/>
  <c r="X316"/>
  <c r="X333"/>
  <c r="X367"/>
  <c r="X385"/>
  <c r="X417"/>
  <c r="X433"/>
  <c r="X484"/>
  <c r="X520"/>
  <c r="X536"/>
  <c r="X553"/>
  <c r="X586"/>
  <c r="X11"/>
  <c r="X45"/>
  <c r="X62"/>
  <c r="X79"/>
  <c r="X95"/>
  <c r="X132"/>
  <c r="X148"/>
  <c r="X164"/>
  <c r="X180"/>
  <c r="X196"/>
  <c r="X263"/>
  <c r="X279"/>
  <c r="X312"/>
  <c r="X345"/>
  <c r="X362"/>
  <c r="X381"/>
  <c r="X413"/>
  <c r="X429"/>
  <c r="X462"/>
  <c r="X480"/>
  <c r="X509"/>
  <c r="X532"/>
  <c r="X549"/>
  <c r="X582"/>
  <c r="X6"/>
  <c r="X23"/>
  <c r="X41"/>
  <c r="X57"/>
  <c r="X75"/>
  <c r="X91"/>
  <c r="X127"/>
  <c r="X144"/>
  <c r="X160"/>
  <c r="X176"/>
  <c r="X192"/>
  <c r="X208"/>
  <c r="X259"/>
  <c r="X275"/>
  <c r="X292"/>
  <c r="X308"/>
  <c r="X341"/>
  <c r="X377"/>
  <c r="X409"/>
  <c r="X425"/>
  <c r="X458"/>
  <c r="X476"/>
  <c r="X528"/>
  <c r="X545"/>
  <c r="X577"/>
  <c r="X594"/>
  <c r="X19"/>
  <c r="X37"/>
  <c r="X53"/>
  <c r="X71"/>
  <c r="X87"/>
  <c r="X103"/>
  <c r="X140"/>
  <c r="X156"/>
  <c r="X172"/>
  <c r="X188"/>
  <c r="X204"/>
  <c r="X223"/>
  <c r="X254"/>
  <c r="X271"/>
  <c r="X304"/>
  <c r="X320"/>
  <c r="X337"/>
  <c r="X373"/>
  <c r="X421"/>
  <c r="X437"/>
  <c r="X472"/>
  <c r="X488"/>
  <c r="X524"/>
  <c r="X541"/>
  <c r="X557"/>
  <c r="X590"/>
  <c r="W600"/>
  <c r="X601"/>
  <c r="X598"/>
  <c r="X10"/>
  <c r="X18"/>
  <c r="X27"/>
  <c r="X40"/>
  <c r="X48"/>
  <c r="X56"/>
  <c r="X66"/>
  <c r="X74"/>
  <c r="X82"/>
  <c r="X90"/>
  <c r="X98"/>
  <c r="X118"/>
  <c r="X126"/>
  <c r="X139"/>
  <c r="X147"/>
  <c r="X155"/>
  <c r="X163"/>
  <c r="X171"/>
  <c r="X175"/>
  <c r="X179"/>
  <c r="X187"/>
  <c r="X191"/>
  <c r="X195"/>
  <c r="X199"/>
  <c r="X203"/>
  <c r="X207"/>
  <c r="X222"/>
  <c r="X228"/>
  <c r="X248"/>
  <c r="X253"/>
  <c r="X258"/>
  <c r="X262"/>
  <c r="X266"/>
  <c r="X270"/>
  <c r="X274"/>
  <c r="X278"/>
  <c r="X282"/>
  <c r="X291"/>
  <c r="X299"/>
  <c r="X303"/>
  <c r="X307"/>
  <c r="X311"/>
  <c r="X315"/>
  <c r="X324"/>
  <c r="X340"/>
  <c r="X344"/>
  <c r="X357"/>
  <c r="X361"/>
  <c r="X366"/>
  <c r="X370"/>
  <c r="X376"/>
  <c r="X380"/>
  <c r="X384"/>
  <c r="X412"/>
  <c r="X416"/>
  <c r="X420"/>
  <c r="X424"/>
  <c r="X428"/>
  <c r="X432"/>
  <c r="X436"/>
  <c r="X457"/>
  <c r="X461"/>
  <c r="X466"/>
  <c r="X471"/>
  <c r="X475"/>
  <c r="X479"/>
  <c r="X483"/>
  <c r="X519"/>
  <c r="X523"/>
  <c r="X527"/>
  <c r="X531"/>
  <c r="X535"/>
  <c r="X540"/>
  <c r="X544"/>
  <c r="X548"/>
  <c r="X552"/>
  <c r="X556"/>
  <c r="X576"/>
  <c r="X581"/>
  <c r="X585"/>
  <c r="X589"/>
  <c r="X593"/>
  <c r="X597"/>
  <c r="X4"/>
  <c r="X9"/>
  <c r="X13"/>
  <c r="X17"/>
  <c r="X21"/>
  <c r="X39"/>
  <c r="X43"/>
  <c r="X47"/>
  <c r="X51"/>
  <c r="X55"/>
  <c r="X59"/>
  <c r="X69"/>
  <c r="X73"/>
  <c r="X77"/>
  <c r="X81"/>
  <c r="X85"/>
  <c r="X89"/>
  <c r="X93"/>
  <c r="X97"/>
  <c r="X101"/>
  <c r="X106"/>
  <c r="X121"/>
  <c r="X125"/>
  <c r="X130"/>
  <c r="X138"/>
  <c r="X142"/>
  <c r="X146"/>
  <c r="X150"/>
  <c r="X154"/>
  <c r="X158"/>
  <c r="X162"/>
  <c r="X166"/>
  <c r="X170"/>
  <c r="X174"/>
  <c r="X178"/>
  <c r="X182"/>
  <c r="X186"/>
  <c r="X190"/>
  <c r="X194"/>
  <c r="X198"/>
  <c r="X202"/>
  <c r="X206"/>
  <c r="X213"/>
  <c r="X217"/>
  <c r="X221"/>
  <c r="X226"/>
  <c r="X251"/>
  <c r="X261"/>
  <c r="X265"/>
  <c r="X269"/>
  <c r="X273"/>
  <c r="X277"/>
  <c r="X281"/>
  <c r="X290"/>
  <c r="X294"/>
  <c r="X298"/>
  <c r="X302"/>
  <c r="X306"/>
  <c r="X310"/>
  <c r="X314"/>
  <c r="X318"/>
  <c r="X327"/>
  <c r="X339"/>
  <c r="X343"/>
  <c r="X347"/>
  <c r="X360"/>
  <c r="X365"/>
  <c r="X369"/>
  <c r="X375"/>
  <c r="X379"/>
  <c r="X383"/>
  <c r="X387"/>
  <c r="X411"/>
  <c r="X415"/>
  <c r="X419"/>
  <c r="X423"/>
  <c r="X427"/>
  <c r="X431"/>
  <c r="X435"/>
  <c r="X456"/>
  <c r="X460"/>
  <c r="X465"/>
  <c r="X470"/>
  <c r="X474"/>
  <c r="X478"/>
  <c r="X482"/>
  <c r="X486"/>
  <c r="X518"/>
  <c r="X522"/>
  <c r="X526"/>
  <c r="X530"/>
  <c r="X534"/>
  <c r="X539"/>
  <c r="X543"/>
  <c r="X547"/>
  <c r="X551"/>
  <c r="X555"/>
  <c r="X559"/>
  <c r="X580"/>
  <c r="X584"/>
  <c r="X588"/>
  <c r="X592"/>
  <c r="X596"/>
  <c r="X5"/>
  <c r="X14"/>
  <c r="X22"/>
  <c r="X44"/>
  <c r="X52"/>
  <c r="X60"/>
  <c r="X70"/>
  <c r="X78"/>
  <c r="X86"/>
  <c r="X94"/>
  <c r="X102"/>
  <c r="X122"/>
  <c r="X131"/>
  <c r="X135"/>
  <c r="X143"/>
  <c r="X151"/>
  <c r="X159"/>
  <c r="X167"/>
  <c r="X183"/>
  <c r="X218"/>
  <c r="X319"/>
  <c r="X3"/>
  <c r="X8"/>
  <c r="X12"/>
  <c r="X16"/>
  <c r="X20"/>
  <c r="X24"/>
  <c r="X38"/>
  <c r="X42"/>
  <c r="X46"/>
  <c r="X50"/>
  <c r="X54"/>
  <c r="X58"/>
  <c r="X64"/>
  <c r="X68"/>
  <c r="X72"/>
  <c r="X76"/>
  <c r="X80"/>
  <c r="X84"/>
  <c r="X88"/>
  <c r="X92"/>
  <c r="X96"/>
  <c r="X100"/>
  <c r="X104"/>
  <c r="X115"/>
  <c r="X120"/>
  <c r="X124"/>
  <c r="X129"/>
  <c r="X133"/>
  <c r="X137"/>
  <c r="X141"/>
  <c r="X145"/>
  <c r="X149"/>
  <c r="X153"/>
  <c r="X157"/>
  <c r="X161"/>
  <c r="X165"/>
  <c r="X169"/>
  <c r="X173"/>
  <c r="X177"/>
  <c r="X181"/>
  <c r="X185"/>
  <c r="X189"/>
  <c r="X193"/>
  <c r="X197"/>
  <c r="X201"/>
  <c r="X205"/>
  <c r="X212"/>
  <c r="X220"/>
  <c r="X225"/>
  <c r="X250"/>
  <c r="X256"/>
  <c r="X264"/>
  <c r="X268"/>
  <c r="X272"/>
  <c r="X276"/>
  <c r="X280"/>
  <c r="X284"/>
  <c r="X293"/>
  <c r="X297"/>
  <c r="X301"/>
  <c r="X305"/>
  <c r="X309"/>
  <c r="X313"/>
  <c r="X317"/>
  <c r="X321"/>
  <c r="X338"/>
  <c r="X342"/>
  <c r="X359"/>
  <c r="X363"/>
  <c r="X368"/>
  <c r="X374"/>
  <c r="X378"/>
  <c r="X382"/>
  <c r="X386"/>
  <c r="X406"/>
  <c r="X410"/>
  <c r="X414"/>
  <c r="X418"/>
  <c r="X422"/>
  <c r="X426"/>
  <c r="X430"/>
  <c r="X434"/>
  <c r="X438"/>
  <c r="X455"/>
  <c r="X459"/>
  <c r="X463"/>
  <c r="X469"/>
  <c r="X473"/>
  <c r="X477"/>
  <c r="X481"/>
  <c r="X485"/>
  <c r="X517"/>
  <c r="X521"/>
  <c r="X525"/>
  <c r="X529"/>
  <c r="X533"/>
  <c r="X538"/>
  <c r="X542"/>
  <c r="X546"/>
  <c r="X550"/>
  <c r="X554"/>
  <c r="X558"/>
  <c r="X574"/>
  <c r="X579"/>
  <c r="X583"/>
  <c r="X587"/>
  <c r="X591"/>
  <c r="X595"/>
  <c r="W641" l="1"/>
</calcChain>
</file>

<file path=xl/sharedStrings.xml><?xml version="1.0" encoding="utf-8"?>
<sst xmlns="http://schemas.openxmlformats.org/spreadsheetml/2006/main" count="6371" uniqueCount="1746">
  <si>
    <t>BILLMONTH</t>
  </si>
  <si>
    <t>BATCHNO</t>
  </si>
  <si>
    <t>SDIVCODE</t>
  </si>
  <si>
    <t>CONSNO</t>
  </si>
  <si>
    <t>NAME</t>
  </si>
  <si>
    <t>ADDR1</t>
  </si>
  <si>
    <t>ADDR2</t>
  </si>
  <si>
    <t>TARIFFCODE</t>
  </si>
  <si>
    <t>SAN_LOAD</t>
  </si>
  <si>
    <t>OP_BAL</t>
  </si>
  <si>
    <t>ASSESSMENT_AMNT</t>
  </si>
  <si>
    <t>PAYMENT_NOR</t>
  </si>
  <si>
    <t>ADJUSTOR</t>
  </si>
  <si>
    <t>SURLEVIED</t>
  </si>
  <si>
    <t>TOTAL_CL_BAL</t>
  </si>
  <si>
    <t>DEPT_CODE</t>
  </si>
  <si>
    <t>STATUS</t>
  </si>
  <si>
    <t>STD_CLSF_CD</t>
  </si>
  <si>
    <t>19</t>
  </si>
  <si>
    <t>48112</t>
  </si>
  <si>
    <t>1008701</t>
  </si>
  <si>
    <t xml:space="preserve">DIRECTOR WASA TUBE WELL       </t>
  </si>
  <si>
    <t xml:space="preserve">FRUIT MARKET KILLI ALLA ABAD  </t>
  </si>
  <si>
    <t xml:space="preserve">QTA                           </t>
  </si>
  <si>
    <t>66</t>
  </si>
  <si>
    <t>52073</t>
  </si>
  <si>
    <t>PDISC</t>
  </si>
  <si>
    <t xml:space="preserve">7608 </t>
  </si>
  <si>
    <t>1008802</t>
  </si>
  <si>
    <t xml:space="preserve">Q.D.A OFFICE                  </t>
  </si>
  <si>
    <t xml:space="preserve">ZARGHOON ROAD QUETTA          </t>
  </si>
  <si>
    <t>52042</t>
  </si>
  <si>
    <t>RUNN</t>
  </si>
  <si>
    <t xml:space="preserve">1713 </t>
  </si>
  <si>
    <t>1641702</t>
  </si>
  <si>
    <t xml:space="preserve">EXECUTIVE ENGINEER            </t>
  </si>
  <si>
    <t xml:space="preserve">QUARRY ROAD                   </t>
  </si>
  <si>
    <t>1690902</t>
  </si>
  <si>
    <t xml:space="preserve">MOSQUE SHARIF                 </t>
  </si>
  <si>
    <t xml:space="preserve">B D A COLONY QUARRI ROAD      </t>
  </si>
  <si>
    <t>52041</t>
  </si>
  <si>
    <t xml:space="preserve">0102 </t>
  </si>
  <si>
    <t>1691700</t>
  </si>
  <si>
    <t xml:space="preserve">B.D.A COMPLEX                 </t>
  </si>
  <si>
    <t xml:space="preserve">QUARRY ROAD QUETTA            </t>
  </si>
  <si>
    <t>24</t>
  </si>
  <si>
    <t>0665501</t>
  </si>
  <si>
    <t xml:space="preserve">MD WASA </t>
  </si>
  <si>
    <t>FATIMA JINNAH ROAD</t>
  </si>
  <si>
    <t>QUETTA</t>
  </si>
  <si>
    <t>07608</t>
  </si>
  <si>
    <t>0928301</t>
  </si>
  <si>
    <t xml:space="preserve">FATIMA JINNAH ROAD            </t>
  </si>
  <si>
    <t>1008501</t>
  </si>
  <si>
    <t xml:space="preserve">XEN B.WASA T/WELL             </t>
  </si>
  <si>
    <t xml:space="preserve">NEAR QDA OFFICE MENGAL ABAD   </t>
  </si>
  <si>
    <t>1012001</t>
  </si>
  <si>
    <t xml:space="preserve">X.E.N B. WASA                 </t>
  </si>
  <si>
    <t xml:space="preserve">KILLI GUL ABAD ZARGHOON ROAD  </t>
  </si>
  <si>
    <t>1064501</t>
  </si>
  <si>
    <t>MD WASA</t>
  </si>
  <si>
    <t>SIRKI ROAD QUETTA</t>
  </si>
  <si>
    <t>1110502</t>
  </si>
  <si>
    <t xml:space="preserve">XEN P.H.E                     </t>
  </si>
  <si>
    <t xml:space="preserve">AKHTAR MUHAMMAD ROAD          </t>
  </si>
  <si>
    <t xml:space="preserve">QUETTA                        </t>
  </si>
  <si>
    <t xml:space="preserve">7604 </t>
  </si>
  <si>
    <t>1118601</t>
  </si>
  <si>
    <t xml:space="preserve">EXECUTIVE ENGINEER B-WASA     </t>
  </si>
  <si>
    <t xml:space="preserve">BURMA STREET JAN MOHAMMAD     </t>
  </si>
  <si>
    <t xml:space="preserve">ROAD QUETTA.                  </t>
  </si>
  <si>
    <t>1122301</t>
  </si>
  <si>
    <t xml:space="preserve">XEN B-WASA                    </t>
  </si>
  <si>
    <t xml:space="preserve">JAN MUHAMMAD ROAD QTA         </t>
  </si>
  <si>
    <t>1237902</t>
  </si>
  <si>
    <t xml:space="preserve">JAN MUHAMMAD ROAD             </t>
  </si>
  <si>
    <t>1248202</t>
  </si>
  <si>
    <t>JAN MUHAMMAD ROAD</t>
  </si>
  <si>
    <t>1257301</t>
  </si>
  <si>
    <t xml:space="preserve">NEAR SHAHZAMAN ROAD           </t>
  </si>
  <si>
    <t>1287201</t>
  </si>
  <si>
    <t xml:space="preserve">ZARGHOON ROAD QTA NOMI STREET </t>
  </si>
  <si>
    <t xml:space="preserve">NEW AL GILANI ROAD QTA        </t>
  </si>
  <si>
    <t>1318701</t>
  </si>
  <si>
    <t xml:space="preserve">P H E                         </t>
  </si>
  <si>
    <t xml:space="preserve">STEWART ROAD                  </t>
  </si>
  <si>
    <t>1384701</t>
  </si>
  <si>
    <t xml:space="preserve">PHE DEPARTMENT                </t>
  </si>
  <si>
    <t xml:space="preserve">WATER SUPPLY SCHEME           </t>
  </si>
  <si>
    <t xml:space="preserve">ALLAH ABAD FRUIT MANDI QUETTA </t>
  </si>
  <si>
    <t>1420001</t>
  </si>
  <si>
    <t xml:space="preserve">PHE DEPTT                     </t>
  </si>
  <si>
    <t xml:space="preserve">KUCHA AMAN QUARY ROAD QTA     </t>
  </si>
  <si>
    <t>1641701</t>
  </si>
  <si>
    <t>45</t>
  </si>
  <si>
    <t>27</t>
  </si>
  <si>
    <t>1053301</t>
  </si>
  <si>
    <t xml:space="preserve">KILLI SIRKI KALAN             </t>
  </si>
  <si>
    <t>1250900</t>
  </si>
  <si>
    <t>1258100</t>
  </si>
  <si>
    <t>1422000</t>
  </si>
  <si>
    <t xml:space="preserve">B-WASA                        </t>
  </si>
  <si>
    <t xml:space="preserve">ZAMAN KHNA ROAD               </t>
  </si>
  <si>
    <t>1453601</t>
  </si>
  <si>
    <t>ABDULLAH PAL STREET NEAR IMDAD</t>
  </si>
  <si>
    <t xml:space="preserve">HOTAL QUETTA                  </t>
  </si>
  <si>
    <t>1556001</t>
  </si>
  <si>
    <t xml:space="preserve">FAQIR MUHAMMAD ROAD QTA       </t>
  </si>
  <si>
    <t>1640401</t>
  </si>
  <si>
    <t>1690901</t>
  </si>
  <si>
    <t xml:space="preserve">C-O XEN B-WASA QUETTA         </t>
  </si>
  <si>
    <t xml:space="preserve">WATER SUPPLY SCHEME B.D.A CLY </t>
  </si>
  <si>
    <t>48113</t>
  </si>
  <si>
    <t>1567800</t>
  </si>
  <si>
    <t xml:space="preserve">B.D.A GROUND WATER OFFICE     </t>
  </si>
  <si>
    <t xml:space="preserve">SARIAB ROAD                   </t>
  </si>
  <si>
    <t>0003601</t>
  </si>
  <si>
    <t xml:space="preserve">MD WASA                       </t>
  </si>
  <si>
    <t xml:space="preserve">NEW ZARGHOON ROAD             </t>
  </si>
  <si>
    <t>0171502</t>
  </si>
  <si>
    <t xml:space="preserve">GHAFOOR TOWN GHOUSE ABAD QTA  </t>
  </si>
  <si>
    <t>0181001</t>
  </si>
  <si>
    <t xml:space="preserve">PROJECT DIRECTOR(QWSEIP)      </t>
  </si>
  <si>
    <t xml:space="preserve">T/WELL GHOUS ABAD UZBAK BAZAR </t>
  </si>
  <si>
    <t>0268701</t>
  </si>
  <si>
    <t xml:space="preserve">B.NO.05 S. TOWN QUETTA        </t>
  </si>
  <si>
    <t xml:space="preserve">7620 </t>
  </si>
  <si>
    <t>0461500</t>
  </si>
  <si>
    <t xml:space="preserve">EXECTIVE ENGINEER             </t>
  </si>
  <si>
    <t xml:space="preserve">B.WASA (W.S.SCHEEM)           </t>
  </si>
  <si>
    <t>ARBAB SHER ALI TOWN S.TOWN QTA</t>
  </si>
  <si>
    <t>0569301</t>
  </si>
  <si>
    <t xml:space="preserve">PROJECT DIRECTOR QWSEIP       </t>
  </si>
  <si>
    <t xml:space="preserve">T/WELL CONNECTION GOAL MASJID </t>
  </si>
  <si>
    <t xml:space="preserve">S.TOWN QUETTA                 </t>
  </si>
  <si>
    <t>0597901</t>
  </si>
  <si>
    <t xml:space="preserve">TRUCK ADDA S/TOWN QTA         </t>
  </si>
  <si>
    <t>0625301</t>
  </si>
  <si>
    <t xml:space="preserve">QUETTA DEVELOPMENT AUTHORITY  </t>
  </si>
  <si>
    <t xml:space="preserve">PARK                          </t>
  </si>
  <si>
    <t xml:space="preserve">SATLITE TOWN QUETTA           </t>
  </si>
  <si>
    <t>0800901</t>
  </si>
  <si>
    <t xml:space="preserve">WASA T/WELL                   </t>
  </si>
  <si>
    <t xml:space="preserve">B-NO 5 S.TOWN                 </t>
  </si>
  <si>
    <t>0820401</t>
  </si>
  <si>
    <t xml:space="preserve">B.WASA LADIES PARK            </t>
  </si>
  <si>
    <t xml:space="preserve">S.TOWN  QUETTA                </t>
  </si>
  <si>
    <t>0824100</t>
  </si>
  <si>
    <t xml:space="preserve">ADMINISTRATOR MUNCIPAL        </t>
  </si>
  <si>
    <t xml:space="preserve">S. TOWN PARK                  </t>
  </si>
  <si>
    <t>0851701</t>
  </si>
  <si>
    <t xml:space="preserve">XEN PHE                       </t>
  </si>
  <si>
    <t xml:space="preserve">T-WELL WSS B.NO-05 S.TOWN     </t>
  </si>
  <si>
    <t>0945500</t>
  </si>
  <si>
    <t xml:space="preserve">WASA                          </t>
  </si>
  <si>
    <t xml:space="preserve">B.NO 3 S. TOWN QTA            </t>
  </si>
  <si>
    <t>1162801</t>
  </si>
  <si>
    <t xml:space="preserve">P H E DEPARTMENT T/WELL       </t>
  </si>
  <si>
    <t xml:space="preserve">WATER SUPPLY SCHEME REHMAT    </t>
  </si>
  <si>
    <t xml:space="preserve">COLONY NO 2 SIRKI RD QUETTA   </t>
  </si>
  <si>
    <t>1357701</t>
  </si>
  <si>
    <t xml:space="preserve">WASA T-WELL                   </t>
  </si>
  <si>
    <t xml:space="preserve">REHMAT COLONY SIRKY ROAD      </t>
  </si>
  <si>
    <t>1388700</t>
  </si>
  <si>
    <t xml:space="preserve">ISMAIL COLONY SIRKI ROAD QTA  </t>
  </si>
  <si>
    <t>1398501</t>
  </si>
  <si>
    <t xml:space="preserve">XEN B.WASA                    </t>
  </si>
  <si>
    <t xml:space="preserve">T/WELL ISMAIL COLONEY         </t>
  </si>
  <si>
    <t xml:space="preserve">SIRKI ROAD QUETTA             </t>
  </si>
  <si>
    <t>1477701</t>
  </si>
  <si>
    <t xml:space="preserve">MD WASA T/WELL                </t>
  </si>
  <si>
    <t xml:space="preserve">ABAD                          </t>
  </si>
  <si>
    <t>1508401</t>
  </si>
  <si>
    <t xml:space="preserve">TUBE WELL GHARI ADDA SIRKI    </t>
  </si>
  <si>
    <t>1559700</t>
  </si>
  <si>
    <t xml:space="preserve">EXECTIVE ENGINEER WORK        </t>
  </si>
  <si>
    <t xml:space="preserve">QWSEIP T/WELL                 </t>
  </si>
  <si>
    <t>MADARSA TAJWIL SIRKI RD QUETTA</t>
  </si>
  <si>
    <t>1398700</t>
  </si>
  <si>
    <t xml:space="preserve">ISMAIL COLONY SIRKI ROAD      </t>
  </si>
  <si>
    <t>48114</t>
  </si>
  <si>
    <t>0646900</t>
  </si>
  <si>
    <t>GHARIB ABAD T/WELL SARIAB ROAD</t>
  </si>
  <si>
    <t>1700101</t>
  </si>
  <si>
    <t xml:space="preserve">SARIAB ROAD QUETTA            </t>
  </si>
  <si>
    <t>0017100</t>
  </si>
  <si>
    <t xml:space="preserve">W.A.S.A TUBE WELL             </t>
  </si>
  <si>
    <t xml:space="preserve">MECONGHY ROAD                 </t>
  </si>
  <si>
    <t>0026308</t>
  </si>
  <si>
    <t xml:space="preserve">TECHNICAL HIGH SCHOOL         </t>
  </si>
  <si>
    <t>0049202</t>
  </si>
  <si>
    <t>XEN URBAN PLANNING DEVELOPMENT</t>
  </si>
  <si>
    <t xml:space="preserve">ARBAB KARAM KHAN ROAD         </t>
  </si>
  <si>
    <t xml:space="preserve">QUETTA.                       </t>
  </si>
  <si>
    <t>0091101</t>
  </si>
  <si>
    <t xml:space="preserve">DY:DIRECTOR WORKSHOP &amp; IRR:   </t>
  </si>
  <si>
    <t>0604600</t>
  </si>
  <si>
    <t xml:space="preserve">XEN B WASA TUBE WELL          </t>
  </si>
  <si>
    <t xml:space="preserve">LINK SARIYAB ROAD             </t>
  </si>
  <si>
    <t>0684800</t>
  </si>
  <si>
    <t xml:space="preserve">WASA TUBE WELL                </t>
  </si>
  <si>
    <t xml:space="preserve">ZARGHOON ROAD                 </t>
  </si>
  <si>
    <t>0693800</t>
  </si>
  <si>
    <t xml:space="preserve">DIRECTOR WASA  T.WELL         </t>
  </si>
  <si>
    <t xml:space="preserve">CIVIL SECRETRIATE QUETTA      </t>
  </si>
  <si>
    <t>0750100</t>
  </si>
  <si>
    <t xml:space="preserve">EXECUTIVE ENGINEER  B-WASA    </t>
  </si>
  <si>
    <t xml:space="preserve">AHMED KHANZAI COLONY NEAR     </t>
  </si>
  <si>
    <t xml:space="preserve">RAILWAY HOSPITAL QTA          </t>
  </si>
  <si>
    <t>0765701</t>
  </si>
  <si>
    <t xml:space="preserve">B.WASA BARGINZA VILLA         </t>
  </si>
  <si>
    <t>0818201</t>
  </si>
  <si>
    <t xml:space="preserve">B-WASA T/WELL                 </t>
  </si>
  <si>
    <t>NEW JANI MUHAMMAD ROAD</t>
  </si>
  <si>
    <t>KHALIQABAD QUETTA</t>
  </si>
  <si>
    <t>0824900</t>
  </si>
  <si>
    <t xml:space="preserve">XEN B-WASA TUBE WELL          </t>
  </si>
  <si>
    <t xml:space="preserve">ZARGHOON ROAD QTA.            </t>
  </si>
  <si>
    <t>0853001</t>
  </si>
  <si>
    <t xml:space="preserve">MOTI RAM ROAD QUETTA          </t>
  </si>
  <si>
    <t>0887900</t>
  </si>
  <si>
    <t xml:space="preserve">DIRECTOR WASA                 </t>
  </si>
  <si>
    <t xml:space="preserve">PATAIL ROAD                   </t>
  </si>
  <si>
    <t>0895900</t>
  </si>
  <si>
    <t xml:space="preserve">SHAWAK SHAH ROAD              </t>
  </si>
  <si>
    <t>0981801</t>
  </si>
  <si>
    <t xml:space="preserve">DY:DIRECTOR                   </t>
  </si>
  <si>
    <t xml:space="preserve">DEPTT:GOURDAT SINGH ROAD      </t>
  </si>
  <si>
    <t>1055301</t>
  </si>
  <si>
    <t xml:space="preserve">WORK (QWESIP) WASA            </t>
  </si>
  <si>
    <t xml:space="preserve">KILLI AHMED KHAN ZAI QUETTA   </t>
  </si>
  <si>
    <t>1181500</t>
  </si>
  <si>
    <t xml:space="preserve">B-WASA ZARGHOON ROAD QUETTA   </t>
  </si>
  <si>
    <t>1201301</t>
  </si>
  <si>
    <t xml:space="preserve">EXECUTIVE WNGINEER B-WASA     </t>
  </si>
  <si>
    <t xml:space="preserve">ZARGHOON ROAD MANGAL ZAI GARH </t>
  </si>
  <si>
    <t xml:space="preserve">STREET SARIAB ROAD QTA        </t>
  </si>
  <si>
    <t>1241900</t>
  </si>
  <si>
    <t xml:space="preserve">EXECUTIVE ENGINEER B.WASA     </t>
  </si>
  <si>
    <t xml:space="preserve">TUBE WELL RAISANI ROAD QTA    </t>
  </si>
  <si>
    <t>1300103</t>
  </si>
  <si>
    <t xml:space="preserve">KAKAR COLONY RAISANI ROAD     </t>
  </si>
  <si>
    <t>1300601</t>
  </si>
  <si>
    <t xml:space="preserve">ZARGHOON ROAD MANGEL STREET   </t>
  </si>
  <si>
    <t xml:space="preserve">ARBAB KARAM KHAN ROAD QTA     </t>
  </si>
  <si>
    <t>1325501</t>
  </si>
  <si>
    <t xml:space="preserve">KHARAN STREET SARIAB RD       </t>
  </si>
  <si>
    <t>1361001</t>
  </si>
  <si>
    <t xml:space="preserve">KILLI SHAIKHAN RAISANI RD     </t>
  </si>
  <si>
    <t>1392901</t>
  </si>
  <si>
    <t xml:space="preserve">XEN B-WASA T/WELL             </t>
  </si>
  <si>
    <t xml:space="preserve">SHAHZAMAN ROAD NEAR ARBAB     </t>
  </si>
  <si>
    <t xml:space="preserve">KARAM KHAN ROAD QTA           </t>
  </si>
  <si>
    <t>1418102</t>
  </si>
  <si>
    <t xml:space="preserve">XEN PHE DIVISION              </t>
  </si>
  <si>
    <t xml:space="preserve">GIRL COLLAGE KILLI SHEIKHAN   </t>
  </si>
  <si>
    <t>1421902</t>
  </si>
  <si>
    <t xml:space="preserve">PUBLIC HEALTH                 </t>
  </si>
  <si>
    <t xml:space="preserve">HAZRAT ALI MASJID KILLI       </t>
  </si>
  <si>
    <t xml:space="preserve">SHEIKHAN QUETTA               </t>
  </si>
  <si>
    <t>1434102</t>
  </si>
  <si>
    <t xml:space="preserve">XEN  PHE T-WELL               </t>
  </si>
  <si>
    <t xml:space="preserve">KILLI SHEIKHAN RD QTA         </t>
  </si>
  <si>
    <t>1476901</t>
  </si>
  <si>
    <t xml:space="preserve">DISTRICT OFFICER P.H.E        </t>
  </si>
  <si>
    <t xml:space="preserve">KHALIQ ABAD                   </t>
  </si>
  <si>
    <t xml:space="preserve">NEW JAN MUHAMMAD ROAD QTA     </t>
  </si>
  <si>
    <t>1535101</t>
  </si>
  <si>
    <t xml:space="preserve">STREET ARBAB KARAM KHAN ROAD  </t>
  </si>
  <si>
    <t>1582000</t>
  </si>
  <si>
    <t xml:space="preserve">DISTRICT OFFICER              </t>
  </si>
  <si>
    <t xml:space="preserve">T/WELL SHAH ZAMAN ROAD        </t>
  </si>
  <si>
    <t>1612901</t>
  </si>
  <si>
    <t>DISTRICT OFFICER PUBLIC HEALTH</t>
  </si>
  <si>
    <t xml:space="preserve">KILLI IBRAHIMZAI BROWERY ROAD </t>
  </si>
  <si>
    <t>1708201</t>
  </si>
  <si>
    <t xml:space="preserve">MD WASA T-WELL                </t>
  </si>
  <si>
    <t xml:space="preserve">GULISTAN-E-SADDIQUE SARIAB    </t>
  </si>
  <si>
    <t xml:space="preserve">ROAD QUETTA                   </t>
  </si>
  <si>
    <t>1765801</t>
  </si>
  <si>
    <t xml:space="preserve">M.D B-WASA TUBE WELL          </t>
  </si>
  <si>
    <t>0657205</t>
  </si>
  <si>
    <t xml:space="preserve">ZARGHOON ROAD QTA             </t>
  </si>
  <si>
    <t>0698700</t>
  </si>
  <si>
    <t xml:space="preserve">DISTRICT OFFICER (P.H.E) T/W  </t>
  </si>
  <si>
    <t xml:space="preserve">GULABAD ZARGHOON ROAD QTA     </t>
  </si>
  <si>
    <t>0785801</t>
  </si>
  <si>
    <t xml:space="preserve">B.WASA                        </t>
  </si>
  <si>
    <t>1262201</t>
  </si>
  <si>
    <t xml:space="preserve">GREEN TOWN SARIAB ROAD        </t>
  </si>
  <si>
    <t>1362500</t>
  </si>
  <si>
    <t xml:space="preserve">T/WELL ARBAB KARAM KHAN ROAD  </t>
  </si>
  <si>
    <t>1447500</t>
  </si>
  <si>
    <t xml:space="preserve">TUBE WELL QTA                 </t>
  </si>
  <si>
    <t>RAILWAY HOUSING SOCIETY J.ROAD</t>
  </si>
  <si>
    <t>48115</t>
  </si>
  <si>
    <t>0043400</t>
  </si>
  <si>
    <t xml:space="preserve">SABZI MANDI QTA               </t>
  </si>
  <si>
    <t>00102</t>
  </si>
  <si>
    <t>0008803</t>
  </si>
  <si>
    <t xml:space="preserve">BDA COMMUNITY W.S.S           </t>
  </si>
  <si>
    <t xml:space="preserve">KILLI JATTAK ABAD             </t>
  </si>
  <si>
    <t xml:space="preserve">MUNIR AHMED JAN               </t>
  </si>
  <si>
    <t>0020700</t>
  </si>
  <si>
    <t xml:space="preserve">GHOUS ABAD S.TOWN             </t>
  </si>
  <si>
    <t>0123400</t>
  </si>
  <si>
    <t xml:space="preserve">XEN B WASA                    </t>
  </si>
  <si>
    <t xml:space="preserve">ESSA KHAN ROAD                </t>
  </si>
  <si>
    <t>0125602</t>
  </si>
  <si>
    <t>REHMAT COLONY NO-01 SIRKI ROAD</t>
  </si>
  <si>
    <t>0136602</t>
  </si>
  <si>
    <t xml:space="preserve">DISTRICT OFFICE               </t>
  </si>
  <si>
    <t xml:space="preserve">REHMAT COLONY ANWAR SHAH      </t>
  </si>
  <si>
    <t xml:space="preserve">STREET SIRKI ROAD QUETTA      </t>
  </si>
  <si>
    <t>0149220</t>
  </si>
  <si>
    <t xml:space="preserve">WASA T.WELL                   </t>
  </si>
  <si>
    <t xml:space="preserve">MITTA CHOWK PASHTOON ABAD     </t>
  </si>
  <si>
    <t>0182600</t>
  </si>
  <si>
    <t xml:space="preserve">PROJECT ENGINEER WASA         </t>
  </si>
  <si>
    <t xml:space="preserve">TARO CHOWK QTA                </t>
  </si>
  <si>
    <t>46</t>
  </si>
  <si>
    <t xml:space="preserve">6404 </t>
  </si>
  <si>
    <t>0187601</t>
  </si>
  <si>
    <t xml:space="preserve">MASJID T-WELL WSS BALOCH KHAN </t>
  </si>
  <si>
    <t xml:space="preserve">CHOWK MULLA SALAM RD QTA      </t>
  </si>
  <si>
    <t>0207500</t>
  </si>
  <si>
    <t xml:space="preserve">PROJECT DIRECTOR              </t>
  </si>
  <si>
    <t xml:space="preserve">TUBE WELL                     </t>
  </si>
  <si>
    <t xml:space="preserve">CHAMAN COLONY NEW AFGHAN ROAD </t>
  </si>
  <si>
    <t>0272401</t>
  </si>
  <si>
    <t xml:space="preserve">XEN (WORKS) QWSETP            </t>
  </si>
  <si>
    <t>T/WELL CONNECTION AT HALQA NO.</t>
  </si>
  <si>
    <t xml:space="preserve">37 PASHTOON ABAD QUETTA       </t>
  </si>
  <si>
    <t>0288700</t>
  </si>
  <si>
    <t xml:space="preserve">XEN WASA                      </t>
  </si>
  <si>
    <t xml:space="preserve">NEW ISMAIL COLONY             </t>
  </si>
  <si>
    <t>0372301</t>
  </si>
  <si>
    <t xml:space="preserve">BALOCHISTAN DEVILPMENT        </t>
  </si>
  <si>
    <t xml:space="preserve">MOHAMMAD ROAD                 </t>
  </si>
  <si>
    <t>07604</t>
  </si>
  <si>
    <t>0409000</t>
  </si>
  <si>
    <t xml:space="preserve">DIVISION NO-1 B WASA          </t>
  </si>
  <si>
    <t xml:space="preserve">POINT NO-2 USMAN ABAD QUETTA  </t>
  </si>
  <si>
    <t>0413000</t>
  </si>
  <si>
    <t xml:space="preserve">PASHTOON DARA                 </t>
  </si>
  <si>
    <t xml:space="preserve">PASHTOON ABAD QTA             </t>
  </si>
  <si>
    <t>0496200</t>
  </si>
  <si>
    <t>SHARE-E-ABDUL QADOOS KACHRA RO</t>
  </si>
  <si>
    <t>0596401</t>
  </si>
  <si>
    <t xml:space="preserve">P ABAD                        </t>
  </si>
  <si>
    <t>0751701</t>
  </si>
  <si>
    <t xml:space="preserve">XEN B. WASA TUBE WELL         </t>
  </si>
  <si>
    <t xml:space="preserve">BADEZAI PASTOON ABAD          </t>
  </si>
  <si>
    <t>0877401</t>
  </si>
  <si>
    <t xml:space="preserve">(WORK) QWSIEP MASJID AQSAA    </t>
  </si>
  <si>
    <t xml:space="preserve">PASHTOON ABAD QUETTA          </t>
  </si>
  <si>
    <t>0914085</t>
  </si>
  <si>
    <t xml:space="preserve">XEN PHE T.WELL                </t>
  </si>
  <si>
    <t xml:space="preserve">PASTOON ABAD QTA              </t>
  </si>
  <si>
    <t>0924001</t>
  </si>
  <si>
    <t xml:space="preserve">PROJECT DIRECTOR QWESIP       </t>
  </si>
  <si>
    <t xml:space="preserve">GALLI NO.16-17-18 PASHTOON    </t>
  </si>
  <si>
    <t xml:space="preserve">ABAD QUETTA                   </t>
  </si>
  <si>
    <t>0979403</t>
  </si>
  <si>
    <t xml:space="preserve">EXECUITVE ENGINEER DIVISION   </t>
  </si>
  <si>
    <t xml:space="preserve">NO.3 USMAN ABAD PASHTOON ABAD </t>
  </si>
  <si>
    <t>1026101</t>
  </si>
  <si>
    <t xml:space="preserve">QWSEIP                        </t>
  </si>
  <si>
    <t xml:space="preserve">T/WELL G NO.1 USMAN ABAD      </t>
  </si>
  <si>
    <t>1082602</t>
  </si>
  <si>
    <t xml:space="preserve">MANAN CHOWK                   </t>
  </si>
  <si>
    <t xml:space="preserve">P-ABAD                        </t>
  </si>
  <si>
    <t>1104400</t>
  </si>
  <si>
    <t xml:space="preserve">XEN B-WASA T-WELL             </t>
  </si>
  <si>
    <t xml:space="preserve">BREACH COLONY NEAR ABDUL BAQI </t>
  </si>
  <si>
    <t xml:space="preserve">ROAD P.ABAD QTA               </t>
  </si>
  <si>
    <t>1160200</t>
  </si>
  <si>
    <t xml:space="preserve">PROJECT ENGINIER  B-WASA      </t>
  </si>
  <si>
    <t xml:space="preserve">USMAN ABAD QTA                </t>
  </si>
  <si>
    <t>1224501</t>
  </si>
  <si>
    <t xml:space="preserve">WSS HALQA NO-39 ACHACKZAI     </t>
  </si>
  <si>
    <t xml:space="preserve">MARKET QTA                    </t>
  </si>
  <si>
    <t>1270000</t>
  </si>
  <si>
    <t xml:space="preserve">JADID ABAD KAKAR COLONY       </t>
  </si>
  <si>
    <t>1333500</t>
  </si>
  <si>
    <t xml:space="preserve">XEN-B-WASA TUBE WELL          </t>
  </si>
  <si>
    <t>1396300</t>
  </si>
  <si>
    <t xml:space="preserve">MOLVI NOOR MUHAMMAD           </t>
  </si>
  <si>
    <t>1428103</t>
  </si>
  <si>
    <t xml:space="preserve">PHE T-WELL                    </t>
  </si>
  <si>
    <t xml:space="preserve">WSS BURMA STREET IETHAD CHWK  </t>
  </si>
  <si>
    <t xml:space="preserve">P-ABAD QTA                    </t>
  </si>
  <si>
    <t>1439200</t>
  </si>
  <si>
    <t>NEAR PASHTOON ABAD POLICE STAT</t>
  </si>
  <si>
    <t>1444202</t>
  </si>
  <si>
    <t>BALOCH KHAN CHOWK</t>
  </si>
  <si>
    <t>PASHTOON ABAD QTA</t>
  </si>
  <si>
    <t>07620</t>
  </si>
  <si>
    <t>1485301</t>
  </si>
  <si>
    <t xml:space="preserve">MULLA SALAM RD STREET NO-08   </t>
  </si>
  <si>
    <t>1513001</t>
  </si>
  <si>
    <t xml:space="preserve">P H E WATER SUPPLY            </t>
  </si>
  <si>
    <t xml:space="preserve">SCHEME KAKAR COLONY           </t>
  </si>
  <si>
    <t>1515600</t>
  </si>
  <si>
    <t xml:space="preserve">EXECUITVE ENGINEER B-WASA     </t>
  </si>
  <si>
    <t xml:space="preserve">MITHA CHOWK PASHTOON ABAD     </t>
  </si>
  <si>
    <t>1556800</t>
  </si>
  <si>
    <t>WASA TUBE WELL SABZIMANDI NEAR</t>
  </si>
  <si>
    <t xml:space="preserve">SIRKI ROAD QTA                </t>
  </si>
  <si>
    <t>1759302</t>
  </si>
  <si>
    <t xml:space="preserve">EASTERN BY PASS QUETTA        </t>
  </si>
  <si>
    <t>1766740</t>
  </si>
  <si>
    <t>KILLI BAKHT MUHAMMAD</t>
  </si>
  <si>
    <t>EASTREN BY PASS QUETTA</t>
  </si>
  <si>
    <t>48116</t>
  </si>
  <si>
    <t>0702802</t>
  </si>
  <si>
    <t xml:space="preserve">SACRETARY WORKERS WELFAIR     </t>
  </si>
  <si>
    <t xml:space="preserve">LABOUR HALL                   </t>
  </si>
  <si>
    <t xml:space="preserve">S.TOWN QUETTA.                </t>
  </si>
  <si>
    <t>0707700</t>
  </si>
  <si>
    <t xml:space="preserve">DIRECTOR LABOUR WELFARE       </t>
  </si>
  <si>
    <t xml:space="preserve">C/O B-WASA QUETTA             </t>
  </si>
  <si>
    <t>0720701</t>
  </si>
  <si>
    <t xml:space="preserve">W.S.S SALATER HOUSE EASTERN   </t>
  </si>
  <si>
    <t xml:space="preserve">BY PASS                       </t>
  </si>
  <si>
    <t>0725101</t>
  </si>
  <si>
    <t xml:space="preserve">QWSEIP WATAR SUPPLY SCHEME    </t>
  </si>
  <si>
    <t xml:space="preserve">KILLI TAJ MUHAMMAD EASTREN BY </t>
  </si>
  <si>
    <t xml:space="preserve">PASS QUETTA                   </t>
  </si>
  <si>
    <t>0788200</t>
  </si>
  <si>
    <t xml:space="preserve">XEN B. WASA                   </t>
  </si>
  <si>
    <t xml:space="preserve">MUSLIM ITHAD COLONY ABU BAKAR </t>
  </si>
  <si>
    <t>0811501</t>
  </si>
  <si>
    <t xml:space="preserve">M.D WASA T/WELL               </t>
  </si>
  <si>
    <t xml:space="preserve">M.I. COLONY KILLI SHAMOZAI    </t>
  </si>
  <si>
    <t>0827905</t>
  </si>
  <si>
    <t xml:space="preserve">MEHMOOD ABAD EASTREN BY PASS  </t>
  </si>
  <si>
    <t>0833600</t>
  </si>
  <si>
    <t xml:space="preserve">PASHTOON ABAD                 </t>
  </si>
  <si>
    <t>0833700</t>
  </si>
  <si>
    <t xml:space="preserve">XEN WORKS                     </t>
  </si>
  <si>
    <t xml:space="preserve">MEMOOD MOHALLAH P.ABAD        </t>
  </si>
  <si>
    <t>0835301</t>
  </si>
  <si>
    <t xml:space="preserve">MEHMOOD-A-BAD NEAR MAZDA      </t>
  </si>
  <si>
    <t xml:space="preserve">STOP QUETTA                   </t>
  </si>
  <si>
    <t>0838200</t>
  </si>
  <si>
    <t xml:space="preserve">MOHAMMAD MINA NEAR QAHIR KHAN </t>
  </si>
  <si>
    <t xml:space="preserve">HOUSE QUETTA                  </t>
  </si>
  <si>
    <t>0998102</t>
  </si>
  <si>
    <t xml:space="preserve">KAKAR COLONY QTA              </t>
  </si>
  <si>
    <t>1013101</t>
  </si>
  <si>
    <t xml:space="preserve">MADRASA ROAD KAKAR COLONY     </t>
  </si>
  <si>
    <t>1069906</t>
  </si>
  <si>
    <t xml:space="preserve">GHAZI FATEH KHAN RD           </t>
  </si>
  <si>
    <t>1156206</t>
  </si>
  <si>
    <t xml:space="preserve">XEN-B-WASA TUB WELL           </t>
  </si>
  <si>
    <t xml:space="preserve">BALUCH COLONY                 </t>
  </si>
  <si>
    <t>1199401</t>
  </si>
  <si>
    <t xml:space="preserve">MUSLIM ITAHAD COLONY QTA      </t>
  </si>
  <si>
    <t>1204501</t>
  </si>
  <si>
    <t>MUSLIM ITIHAD COLONY</t>
  </si>
  <si>
    <t>EASTERN BY PASS QUETTA</t>
  </si>
  <si>
    <t>1211902</t>
  </si>
  <si>
    <t xml:space="preserve">WASA W.S.S                    </t>
  </si>
  <si>
    <t xml:space="preserve">(WAZEER AKA) PASHTOON TOWN    </t>
  </si>
  <si>
    <t xml:space="preserve">STREET NO.08 QUETTA           </t>
  </si>
  <si>
    <t>1233701</t>
  </si>
  <si>
    <t xml:space="preserve">MUSLIM ITEHAD COLONY          </t>
  </si>
  <si>
    <t xml:space="preserve">EASTERN BYPASS QUETTA         </t>
  </si>
  <si>
    <t>1243700</t>
  </si>
  <si>
    <t xml:space="preserve">NEAR FOREST TRESS             </t>
  </si>
  <si>
    <t xml:space="preserve">TAKHTANI BY PASS QUETTA       </t>
  </si>
  <si>
    <t>1263500</t>
  </si>
  <si>
    <t xml:space="preserve">MUGHALABAD TAKHTANI BY PASS   </t>
  </si>
  <si>
    <t>1277432</t>
  </si>
  <si>
    <t xml:space="preserve">M.D WASA                      </t>
  </si>
  <si>
    <t xml:space="preserve">KILLI WARDAQ E BY PASS        </t>
  </si>
  <si>
    <t>1282301</t>
  </si>
  <si>
    <t xml:space="preserve">WSS NEW MARRI ABAD TAKHANI BY </t>
  </si>
  <si>
    <t xml:space="preserve">PASS QTA                      </t>
  </si>
  <si>
    <t>1284305</t>
  </si>
  <si>
    <t xml:space="preserve">AT AFGHANIA ROAD EASTERN BY   </t>
  </si>
  <si>
    <t>1293333</t>
  </si>
  <si>
    <t xml:space="preserve">BURAQ HOUSING SCHEME BY       </t>
  </si>
  <si>
    <t>1311020</t>
  </si>
  <si>
    <t xml:space="preserve">KILLI MASTER SALEEM E.BY PASS </t>
  </si>
  <si>
    <t>1710701</t>
  </si>
  <si>
    <t xml:space="preserve">WATER SUPPLY SCHEME E BYPASS  </t>
  </si>
  <si>
    <t>1713101</t>
  </si>
  <si>
    <t>E BYPASS</t>
  </si>
  <si>
    <t>QTA</t>
  </si>
  <si>
    <t>1728201</t>
  </si>
  <si>
    <t xml:space="preserve">EASTREN BY PASS NO.4          </t>
  </si>
  <si>
    <t>1783102</t>
  </si>
  <si>
    <t>M D WASA</t>
  </si>
  <si>
    <t>1792903</t>
  </si>
  <si>
    <t xml:space="preserve">SARDAR TOWN EASTREN BY PASS   </t>
  </si>
  <si>
    <t>1802301</t>
  </si>
  <si>
    <t>SULAIMAN KHAIL COLONY E BYPASS</t>
  </si>
  <si>
    <t>1821610</t>
  </si>
  <si>
    <t xml:space="preserve">M.D WASA T/WELL W.S.S         </t>
  </si>
  <si>
    <t>EASTREN BY PASS KILLI BABA JAN</t>
  </si>
  <si>
    <t>1857905</t>
  </si>
  <si>
    <t>ISHAQ ABAD E BYPASS</t>
  </si>
  <si>
    <t>1890301</t>
  </si>
  <si>
    <t>2011201</t>
  </si>
  <si>
    <t xml:space="preserve">KILLI BALOCH KHAN BY PASS     </t>
  </si>
  <si>
    <t>2027331</t>
  </si>
  <si>
    <t>2033401</t>
  </si>
  <si>
    <t>BHOOSA MANDI</t>
  </si>
  <si>
    <t>EASTERN BYPASS QUETTA</t>
  </si>
  <si>
    <t>2083301</t>
  </si>
  <si>
    <t xml:space="preserve">BARAKZAI TOWN                 </t>
  </si>
  <si>
    <t>2097701</t>
  </si>
  <si>
    <t>KILLI PAYO</t>
  </si>
  <si>
    <t>0703201</t>
  </si>
  <si>
    <t>48121</t>
  </si>
  <si>
    <t>0704600</t>
  </si>
  <si>
    <t xml:space="preserve">M.D WASA T                    </t>
  </si>
  <si>
    <t xml:space="preserve">WELL EIDGAH TOGHT RD          </t>
  </si>
  <si>
    <t>0719400</t>
  </si>
  <si>
    <t xml:space="preserve">TUBE WELL WELL TOGHI ROAD     </t>
  </si>
  <si>
    <t xml:space="preserve">7612 </t>
  </si>
  <si>
    <t>0723802</t>
  </si>
  <si>
    <t xml:space="preserve">WSS FOOT BALL STADIUM         </t>
  </si>
  <si>
    <t xml:space="preserve">GULISTAN TOWN QTA             </t>
  </si>
  <si>
    <t>0752200</t>
  </si>
  <si>
    <t xml:space="preserve">T.WELL WELL TAJ MUHAMMAD ROAD </t>
  </si>
  <si>
    <t>07612</t>
  </si>
  <si>
    <t xml:space="preserve">STREET LIGHT                  </t>
  </si>
  <si>
    <t xml:space="preserve">SUMUNGLI ROAD QUETTA          </t>
  </si>
  <si>
    <t>72</t>
  </si>
  <si>
    <t xml:space="preserve">6701 </t>
  </si>
  <si>
    <t xml:space="preserve">M.D. WASA                     </t>
  </si>
  <si>
    <t xml:space="preserve">ALAMDAR ROAD                  </t>
  </si>
  <si>
    <t>0884735</t>
  </si>
  <si>
    <t>0929700</t>
  </si>
  <si>
    <t xml:space="preserve">M.D  WASA T                   </t>
  </si>
  <si>
    <t xml:space="preserve">T.WELL ZONKIRM RD.MUSLIM ABAD </t>
  </si>
  <si>
    <t xml:space="preserve">HIGH SCHOOL QTA               </t>
  </si>
  <si>
    <t xml:space="preserve">WSS ALLAH DINA ROAD           </t>
  </si>
  <si>
    <t>1016000</t>
  </si>
  <si>
    <t xml:space="preserve">T. WELL ALI BAHADER RD        </t>
  </si>
  <si>
    <t>1041201</t>
  </si>
  <si>
    <t xml:space="preserve">WSS MALIK HASSAN ROAD         </t>
  </si>
  <si>
    <t>1133801</t>
  </si>
  <si>
    <t xml:space="preserve">DIAL BAGH BALOCHI STREET      </t>
  </si>
  <si>
    <t>1160301</t>
  </si>
  <si>
    <t xml:space="preserve">XEN WORKS QWSEIP WASA         </t>
  </si>
  <si>
    <t xml:space="preserve">W.S.S. EID GAH KASI ROAD      </t>
  </si>
  <si>
    <t>1172000</t>
  </si>
  <si>
    <t xml:space="preserve">BASITI PANJAID                </t>
  </si>
  <si>
    <t xml:space="preserve">KANSI ROAD QTA                </t>
  </si>
  <si>
    <t>1217102</t>
  </si>
  <si>
    <t xml:space="preserve">KASI KILA KASI ROAD           </t>
  </si>
  <si>
    <t>1286402</t>
  </si>
  <si>
    <t>KASI QILLA KASI ROAD</t>
  </si>
  <si>
    <t>1392000</t>
  </si>
  <si>
    <t xml:space="preserve">BALOCHISTAN DEVELOPMENT       </t>
  </si>
  <si>
    <t xml:space="preserve">B.D.A OFFICE                  </t>
  </si>
  <si>
    <t>0681302</t>
  </si>
  <si>
    <t xml:space="preserve">DIRECTOR DEVELOPMENT  QUETTA  </t>
  </si>
  <si>
    <t xml:space="preserve">QTA.                          </t>
  </si>
  <si>
    <t>0917801</t>
  </si>
  <si>
    <t xml:space="preserve">WELL KARNI RD                 </t>
  </si>
  <si>
    <t>0981701</t>
  </si>
  <si>
    <t xml:space="preserve">ASSISTANT ENGINEER QWSEIR     </t>
  </si>
  <si>
    <t xml:space="preserve">TAIL GODAM QUETTA.            </t>
  </si>
  <si>
    <t>1135201</t>
  </si>
  <si>
    <t xml:space="preserve">M.D WASA T-WELL               </t>
  </si>
  <si>
    <t xml:space="preserve">NO 10 DIAL BAGH               </t>
  </si>
  <si>
    <t xml:space="preserve"> QUETTA                       </t>
  </si>
  <si>
    <t>1135500</t>
  </si>
  <si>
    <t xml:space="preserve">BALUCHI STREET                </t>
  </si>
  <si>
    <t>48122</t>
  </si>
  <si>
    <t xml:space="preserve">T.WELL NASEERABAD             </t>
  </si>
  <si>
    <t>2256201</t>
  </si>
  <si>
    <t xml:space="preserve">ALLAH DINA ROAD               </t>
  </si>
  <si>
    <t xml:space="preserve">T.WELL MARRIABAD              </t>
  </si>
  <si>
    <t>0008709</t>
  </si>
  <si>
    <t>WSS TONYABAD NASIRABAD</t>
  </si>
  <si>
    <t>0043501</t>
  </si>
  <si>
    <t xml:space="preserve">T/WELL NASIR ABAD             </t>
  </si>
  <si>
    <t xml:space="preserve">TALAB KHUSHK QTA              </t>
  </si>
  <si>
    <t>0128101</t>
  </si>
  <si>
    <t>WSS POLL SYED GIRNATE KHARTAR</t>
  </si>
  <si>
    <t>RD QTA</t>
  </si>
  <si>
    <t>0316600</t>
  </si>
  <si>
    <t xml:space="preserve">T.WELL ALAMDAR RD             </t>
  </si>
  <si>
    <t>0398201</t>
  </si>
  <si>
    <t>0398202</t>
  </si>
  <si>
    <t>0401908</t>
  </si>
  <si>
    <t xml:space="preserve">KHARTAR MARRIABAD             </t>
  </si>
  <si>
    <t>0481701</t>
  </si>
  <si>
    <t xml:space="preserve">D.O PHE WATER SUPPLY          </t>
  </si>
  <si>
    <t>0775200</t>
  </si>
  <si>
    <t>0785000</t>
  </si>
  <si>
    <t xml:space="preserve">T.WELL YAZDAN KHAN            </t>
  </si>
  <si>
    <t>0877600</t>
  </si>
  <si>
    <t xml:space="preserve">T.WELL GHARIBABAD             </t>
  </si>
  <si>
    <t>0895300</t>
  </si>
  <si>
    <t xml:space="preserve">MOHKAM DIN STREET KASI ROAD   </t>
  </si>
  <si>
    <t>0969900</t>
  </si>
  <si>
    <t xml:space="preserve">T.WELL GHAFOOR WAN DURRANI    </t>
  </si>
  <si>
    <t>0969901</t>
  </si>
  <si>
    <t xml:space="preserve">DURANI BAGH                   </t>
  </si>
  <si>
    <t>1326401</t>
  </si>
  <si>
    <t xml:space="preserve">WATER SUPPLY I/R XEN WARKS    </t>
  </si>
  <si>
    <t xml:space="preserve">CQWSEIP AT KILLI DURRANI      </t>
  </si>
  <si>
    <t xml:space="preserve">H GHAIBI ROAD QTA             </t>
  </si>
  <si>
    <t>1369901</t>
  </si>
  <si>
    <t xml:space="preserve">WATER SUPPLY I/R XEN WORKS    </t>
  </si>
  <si>
    <t xml:space="preserve">QWSEIPS AT H GHABI ROAD KILLI </t>
  </si>
  <si>
    <t xml:space="preserve">DURRANI QTA                   </t>
  </si>
  <si>
    <t>1440201</t>
  </si>
  <si>
    <t>TAREEN ROAD</t>
  </si>
  <si>
    <t>1446401</t>
  </si>
  <si>
    <t xml:space="preserve">HAJI GHABI ROAD               </t>
  </si>
  <si>
    <t>1578901</t>
  </si>
  <si>
    <t xml:space="preserve">TAREEN ROAD                   </t>
  </si>
  <si>
    <t>1591301</t>
  </si>
  <si>
    <t xml:space="preserve">DIRECTOR WATER SUPPLY         </t>
  </si>
  <si>
    <t xml:space="preserve">TAREEN ROAD QUETTA            </t>
  </si>
  <si>
    <t>1631800</t>
  </si>
  <si>
    <t xml:space="preserve">B-WASA KASI GRAVE YARD        </t>
  </si>
  <si>
    <t xml:space="preserve">SHALDARA QUETTA               </t>
  </si>
  <si>
    <t>2125601</t>
  </si>
  <si>
    <t xml:space="preserve">SHARIF SOAP                   </t>
  </si>
  <si>
    <t>2131701</t>
  </si>
  <si>
    <t xml:space="preserve">KILLI DURMAN CHASHMA ACHOZAI  </t>
  </si>
  <si>
    <t>2195402</t>
  </si>
  <si>
    <t xml:space="preserve">DIRECTOR WORKER QDA           </t>
  </si>
  <si>
    <t xml:space="preserve">WSS ZARGHOON HOUSING          </t>
  </si>
  <si>
    <t xml:space="preserve">SARAGURGAI QTA                </t>
  </si>
  <si>
    <t>2195510</t>
  </si>
  <si>
    <t>DEPUTY DIRECTOR QDA</t>
  </si>
  <si>
    <t>NEAR NAWA KILLI</t>
  </si>
  <si>
    <t>2195512</t>
  </si>
  <si>
    <t>2241502</t>
  </si>
  <si>
    <t xml:space="preserve">GM GROUND WATER DIVISION      </t>
  </si>
  <si>
    <t xml:space="preserve">WSS KILLI CHASHMA ACHOZAI     </t>
  </si>
  <si>
    <t xml:space="preserve">AIR PORT RD QTA               </t>
  </si>
  <si>
    <t>2256203</t>
  </si>
  <si>
    <t xml:space="preserve">KILLI KERTHAR KACH ROAD       </t>
  </si>
  <si>
    <t xml:space="preserve">KERTHAR QTA                   </t>
  </si>
  <si>
    <t>0040801</t>
  </si>
  <si>
    <t>WSS NADIR ABAD HAZARA GRAVEYAR</t>
  </si>
  <si>
    <t xml:space="preserve">D QTA                         </t>
  </si>
  <si>
    <t>0492101</t>
  </si>
  <si>
    <t xml:space="preserve">WSS MOHALLA HASHMI MARIABAD   </t>
  </si>
  <si>
    <t>0602901</t>
  </si>
  <si>
    <t xml:space="preserve">DIRECTOR DEVOLPMENT QUETTA    </t>
  </si>
  <si>
    <t xml:space="preserve">7616 </t>
  </si>
  <si>
    <t>0753800</t>
  </si>
  <si>
    <t xml:space="preserve">T.WELL YOTIM KHANA RD         </t>
  </si>
  <si>
    <t>1060101</t>
  </si>
  <si>
    <t xml:space="preserve">HAJI GHAIBI ROAD              </t>
  </si>
  <si>
    <t>2136700</t>
  </si>
  <si>
    <t xml:space="preserve">CHILTAN HOUSING SECHEEM       </t>
  </si>
  <si>
    <t xml:space="preserve">AIR PORT ROAD QTA             </t>
  </si>
  <si>
    <t>2162505</t>
  </si>
  <si>
    <t xml:space="preserve">WSS KILLI CSHSHMA CHOHI GHOR  </t>
  </si>
  <si>
    <t xml:space="preserve">ABAD QTA                      </t>
  </si>
  <si>
    <t>2177900</t>
  </si>
  <si>
    <t xml:space="preserve">SMALL ABAD QUETTA             </t>
  </si>
  <si>
    <t>48123</t>
  </si>
  <si>
    <t>0879111</t>
  </si>
  <si>
    <t xml:space="preserve">WSS KILLI MALAZAI             </t>
  </si>
  <si>
    <t xml:space="preserve">KUCHLAK                       </t>
  </si>
  <si>
    <t>0084400</t>
  </si>
  <si>
    <t xml:space="preserve">KILLI SIMILI KUCHLAK          </t>
  </si>
  <si>
    <t>0709808</t>
  </si>
  <si>
    <t xml:space="preserve">XEN QWSEIP WSS                </t>
  </si>
  <si>
    <t xml:space="preserve">KILLI WAZIR ABAD              </t>
  </si>
  <si>
    <t>48124</t>
  </si>
  <si>
    <t>0265400</t>
  </si>
  <si>
    <t xml:space="preserve">JAIL ROAD                     </t>
  </si>
  <si>
    <t>0037500</t>
  </si>
  <si>
    <t xml:space="preserve">M.D WAS AYUB STADIUM          </t>
  </si>
  <si>
    <t>0038701</t>
  </si>
  <si>
    <t xml:space="preserve">CHAMAN HOUSING SCHEME         </t>
  </si>
  <si>
    <t>0265301</t>
  </si>
  <si>
    <t xml:space="preserve">XEN CHILTAN TOWN WASA         </t>
  </si>
  <si>
    <t xml:space="preserve">TEHSIL OFFICE CHAMAN PHATAK   </t>
  </si>
  <si>
    <t>0277902</t>
  </si>
  <si>
    <t xml:space="preserve">BALOCHISTAN WASA T.WELL       </t>
  </si>
  <si>
    <t xml:space="preserve">AYUB STADUM JAIL ROAD QUETTA  </t>
  </si>
  <si>
    <t xml:space="preserve"> QTA                          </t>
  </si>
  <si>
    <t>0386101</t>
  </si>
  <si>
    <t xml:space="preserve">WSS KILLI ARBABAN MANO JAN RD </t>
  </si>
  <si>
    <t>0568900</t>
  </si>
  <si>
    <t xml:space="preserve">DIRECTOR WASA  QDA T.WELL     </t>
  </si>
  <si>
    <t xml:space="preserve">KILLI ISMAIL QUETTA           </t>
  </si>
  <si>
    <t>0591902</t>
  </si>
  <si>
    <t xml:space="preserve">DIRECTOR WASA QDA T.WELL      </t>
  </si>
  <si>
    <t>0599011</t>
  </si>
  <si>
    <t xml:space="preserve">KILLI ISMAIL NO-01 MADASSA RD </t>
  </si>
  <si>
    <t>0673204</t>
  </si>
  <si>
    <t xml:space="preserve">B.WASA T.WELL                 </t>
  </si>
  <si>
    <t xml:space="preserve">KILLI ISMAIL                  </t>
  </si>
  <si>
    <t>0740801</t>
  </si>
  <si>
    <t xml:space="preserve">W.S.S SHEIKH UMER ROAD HUDDA  </t>
  </si>
  <si>
    <t xml:space="preserve">QUEETA                        </t>
  </si>
  <si>
    <t>0761101</t>
  </si>
  <si>
    <t xml:space="preserve">WSS KALAT STREET JAIL ROAD    </t>
  </si>
  <si>
    <t>0817202</t>
  </si>
  <si>
    <t>XEN B WASA</t>
  </si>
  <si>
    <t>MANOJAN ROAD</t>
  </si>
  <si>
    <t>0830801</t>
  </si>
  <si>
    <t xml:space="preserve">KILLI ALLAH ABAD              </t>
  </si>
  <si>
    <t>0903103</t>
  </si>
  <si>
    <t>KILLI SHIEKH HUSSAINI SPINI RD</t>
  </si>
  <si>
    <t>1172002</t>
  </si>
  <si>
    <t xml:space="preserve">XEN PROJECT WORKS             </t>
  </si>
  <si>
    <t>BOYS MIDDLE SCHOOL PRINCI ROAD</t>
  </si>
  <si>
    <t>1208301</t>
  </si>
  <si>
    <t xml:space="preserve">CIRCUIT HOUSE ZARGHOON ROAD   </t>
  </si>
  <si>
    <t>1208901</t>
  </si>
  <si>
    <t xml:space="preserve">KILLI DEBA                    </t>
  </si>
  <si>
    <t>5447000</t>
  </si>
  <si>
    <t xml:space="preserve">BROWERY ROAD                  </t>
  </si>
  <si>
    <t>0005101</t>
  </si>
  <si>
    <t xml:space="preserve">M D B WASA                    </t>
  </si>
  <si>
    <t xml:space="preserve">CHAMAN HOUSING SCHEEM         </t>
  </si>
  <si>
    <t xml:space="preserve">CUSTUM COLONY QTA             </t>
  </si>
  <si>
    <t>0159002</t>
  </si>
  <si>
    <t xml:space="preserve">XEN QWSEIP                    </t>
  </si>
  <si>
    <t xml:space="preserve">W.S.S OLD KILLI ISMAIL        </t>
  </si>
  <si>
    <t>0170800</t>
  </si>
  <si>
    <t xml:space="preserve">CHAMAN PHATTAK QUETTA         </t>
  </si>
  <si>
    <t>0241402</t>
  </si>
  <si>
    <t xml:space="preserve">WSS KILLI ALKOZAI RD          </t>
  </si>
  <si>
    <t>0288900</t>
  </si>
  <si>
    <t xml:space="preserve">XEN Q.WASA                    </t>
  </si>
  <si>
    <t>KILLI DEBA CENTRAL HIGH SCHOOL</t>
  </si>
  <si>
    <t>0298700</t>
  </si>
  <si>
    <t xml:space="preserve">YAR MUHAMMAD KHAN ROAD        </t>
  </si>
  <si>
    <t>0325304</t>
  </si>
  <si>
    <t xml:space="preserve">XEN WORKS QWSEIP              </t>
  </si>
  <si>
    <t xml:space="preserve">WSS RAILWAY FOREMAN COLONY    </t>
  </si>
  <si>
    <t>0468301</t>
  </si>
  <si>
    <t xml:space="preserve">KILLI SHOHOZAI                </t>
  </si>
  <si>
    <t>0582500</t>
  </si>
  <si>
    <t>0684501</t>
  </si>
  <si>
    <t xml:space="preserve">KILLI KABIR SHEHBAZ TOWN      </t>
  </si>
  <si>
    <t>0696500</t>
  </si>
  <si>
    <t xml:space="preserve">QMC T.WELL EID GAGH STREET    </t>
  </si>
  <si>
    <t xml:space="preserve">KILLI KABER QTA               </t>
  </si>
  <si>
    <t>0854010</t>
  </si>
  <si>
    <t xml:space="preserve">KILLI DEBA (ARBAB)            </t>
  </si>
  <si>
    <t>0936301</t>
  </si>
  <si>
    <t xml:space="preserve">XEN CHILTAN B-WASA            </t>
  </si>
  <si>
    <t xml:space="preserve">KILLI SHEIKH HUSSAINI         </t>
  </si>
  <si>
    <t>48125</t>
  </si>
  <si>
    <t>0000602</t>
  </si>
  <si>
    <t xml:space="preserve">XEN QDA-III                   </t>
  </si>
  <si>
    <t xml:space="preserve">MERCK CHOWK CHAMAN ROAD       </t>
  </si>
  <si>
    <t>0071700</t>
  </si>
  <si>
    <t xml:space="preserve">PROJECT DIRECTOR WASA T/WELL  </t>
  </si>
  <si>
    <t xml:space="preserve">KILLI KOTWAL                  </t>
  </si>
  <si>
    <t>0424200</t>
  </si>
  <si>
    <t xml:space="preserve">KILLI NASRAN                  </t>
  </si>
  <si>
    <t>2058900</t>
  </si>
  <si>
    <t xml:space="preserve">T WEIL LABAOUR COLONY QTA     </t>
  </si>
  <si>
    <t>2104500</t>
  </si>
  <si>
    <t xml:space="preserve">KILLI MALAKHAIL NAWA KILLI    </t>
  </si>
  <si>
    <t>2276003</t>
  </si>
  <si>
    <t>M.D WASA</t>
  </si>
  <si>
    <t>XEN CIVIL DIVISION WSS SHEIKH</t>
  </si>
  <si>
    <t>MANDA TERMINAL COLONY QTA</t>
  </si>
  <si>
    <t>0023201</t>
  </si>
  <si>
    <t xml:space="preserve">MANAGING DIRECTOR B WASA      </t>
  </si>
  <si>
    <t xml:space="preserve">ALMO CHOWK MANDOKHAIL ABAD    </t>
  </si>
  <si>
    <t>0042000</t>
  </si>
  <si>
    <t xml:space="preserve">KILLI KOTWAL QUETTA           </t>
  </si>
  <si>
    <t>0248600</t>
  </si>
  <si>
    <t xml:space="preserve">PASHTOON CHOWK KILLI MARDAN   </t>
  </si>
  <si>
    <t>0268300</t>
  </si>
  <si>
    <t xml:space="preserve">M.D. BALOCHISTAN WASA         </t>
  </si>
  <si>
    <t xml:space="preserve">NAWA KILLI                    </t>
  </si>
  <si>
    <t>0301801</t>
  </si>
  <si>
    <t xml:space="preserve">EXECUTIVE ENGINEER P.H.E      </t>
  </si>
  <si>
    <t xml:space="preserve">MANDO KHAIL ABAD NAWA KILLI   </t>
  </si>
  <si>
    <t>0304101</t>
  </si>
  <si>
    <t xml:space="preserve">RESORVOIR TANK NAWA KILLI     </t>
  </si>
  <si>
    <t>0386301</t>
  </si>
  <si>
    <t xml:space="preserve">ABDULLAH KHAN                 </t>
  </si>
  <si>
    <t xml:space="preserve">COMMUNITY W.S.S KILLI NASRAN  </t>
  </si>
  <si>
    <t xml:space="preserve">NAWA KILLI QTA                </t>
  </si>
  <si>
    <t>0459100</t>
  </si>
  <si>
    <t xml:space="preserve">MANAGER DIRECTOR              </t>
  </si>
  <si>
    <t xml:space="preserve">WATER SUPPLY SCHEME ZARGHOON  </t>
  </si>
  <si>
    <t xml:space="preserve">ABAD NAWAN KILLI QUETTA.      </t>
  </si>
  <si>
    <t>0475000</t>
  </si>
  <si>
    <t xml:space="preserve">ZARGHOON ABAD NAWAN KILLI QTA </t>
  </si>
  <si>
    <t>0525702</t>
  </si>
  <si>
    <t xml:space="preserve">W S S NAWA KILLI NEAR JAMIA   </t>
  </si>
  <si>
    <t xml:space="preserve">MASJID QTA                    </t>
  </si>
  <si>
    <t>1767900</t>
  </si>
  <si>
    <t xml:space="preserve">BASHIR MASHI ABAD QUETTA      </t>
  </si>
  <si>
    <t>2058800</t>
  </si>
  <si>
    <t xml:space="preserve">SECRETARY WELFARE BOARD       </t>
  </si>
  <si>
    <t xml:space="preserve">LABOUR COLONY NAWA KILLI      </t>
  </si>
  <si>
    <t>48131</t>
  </si>
  <si>
    <t>0013101</t>
  </si>
  <si>
    <t xml:space="preserve">MUSA COLONY SARIAB RD         </t>
  </si>
  <si>
    <t>0033501</t>
  </si>
  <si>
    <t xml:space="preserve">M D WASA                      </t>
  </si>
  <si>
    <t xml:space="preserve">KILLI BRAICH ABAD             </t>
  </si>
  <si>
    <t>0041011</t>
  </si>
  <si>
    <t xml:space="preserve">SARIAB GRID STATION           </t>
  </si>
  <si>
    <t>0079200</t>
  </si>
  <si>
    <t xml:space="preserve">M.D WASSA                     </t>
  </si>
  <si>
    <t xml:space="preserve">BARACH ABAD                   </t>
  </si>
  <si>
    <t xml:space="preserve">NEAR HAJI GHAFOOR MASJID      </t>
  </si>
  <si>
    <t>0119001</t>
  </si>
  <si>
    <t xml:space="preserve">MUSA COLONY                   </t>
  </si>
  <si>
    <t>0133904</t>
  </si>
  <si>
    <t xml:space="preserve">BAREACH ABAD MUSA COLONY      </t>
  </si>
  <si>
    <t>0173601</t>
  </si>
  <si>
    <t xml:space="preserve">KAKAR CHOWK                   </t>
  </si>
  <si>
    <t xml:space="preserve">KHILJI COLONY SARIAB ROAD QTA </t>
  </si>
  <si>
    <t>0180501</t>
  </si>
  <si>
    <t xml:space="preserve">KHILJI COLONY                 </t>
  </si>
  <si>
    <t xml:space="preserve">SARIAB ROAD QUETA             </t>
  </si>
  <si>
    <t>0227904</t>
  </si>
  <si>
    <t xml:space="preserve">SHAMOZAI MUSSA COLONY         </t>
  </si>
  <si>
    <t>0313001</t>
  </si>
  <si>
    <t xml:space="preserve">QUETTA DEVELOPMENT ATHORITY   </t>
  </si>
  <si>
    <t>COMM:W.S.S FAQIR ABAD KHILJI C</t>
  </si>
  <si>
    <t xml:space="preserve">PERKANI ABAD SARIAB RD QTA    </t>
  </si>
  <si>
    <t>0365201</t>
  </si>
  <si>
    <t xml:space="preserve">FAQIR ABAD                    </t>
  </si>
  <si>
    <t>0430101</t>
  </si>
  <si>
    <t xml:space="preserve">BDA WATER SUPPLY SCHEME       </t>
  </si>
  <si>
    <t>KILLI TAJ MUHAMMAD E.B.PAS QTA</t>
  </si>
  <si>
    <t>0471600</t>
  </si>
  <si>
    <t xml:space="preserve">SADIQ ABAD                    </t>
  </si>
  <si>
    <t>0514306</t>
  </si>
  <si>
    <t xml:space="preserve">KILLI SADIQ ABAD GAS ROAD     </t>
  </si>
  <si>
    <t xml:space="preserve">ESTREN BY PASS QUETTA         </t>
  </si>
  <si>
    <t>0568401</t>
  </si>
  <si>
    <t xml:space="preserve">MULAKHAIL ABAD                </t>
  </si>
  <si>
    <t xml:space="preserve">EASTREN BY PASS QUETTA        </t>
  </si>
  <si>
    <t>0642400</t>
  </si>
  <si>
    <t>BENEVOLENT FUND HOUSING SCHEME</t>
  </si>
  <si>
    <t xml:space="preserve">SARIAB ROAD QTA               </t>
  </si>
  <si>
    <t>1052500</t>
  </si>
  <si>
    <t xml:space="preserve">MADRASA BAHA-UR-ULOOM         </t>
  </si>
  <si>
    <t xml:space="preserve">MASTUNG ROAD QUETTA           </t>
  </si>
  <si>
    <t>1180461</t>
  </si>
  <si>
    <t>GENERAL MANAGER GROUND DIVSION</t>
  </si>
  <si>
    <t xml:space="preserve">CHILATAN RAISANI ALKOZAI      </t>
  </si>
  <si>
    <t xml:space="preserve">HAZAR GUNJI QUETTA            </t>
  </si>
  <si>
    <t>1243101</t>
  </si>
  <si>
    <t xml:space="preserve">G.M(CIVIL WORKS)              </t>
  </si>
  <si>
    <t xml:space="preserve">KILLI BANGULZAI SARIAB RD QTA </t>
  </si>
  <si>
    <t>1548601</t>
  </si>
  <si>
    <t xml:space="preserve">KACHI BAIG JAMIAT RAI         </t>
  </si>
  <si>
    <t>1660501</t>
  </si>
  <si>
    <t xml:space="preserve">KILLI GUGARI MUSLIM ABAD      </t>
  </si>
  <si>
    <t xml:space="preserve">RADIO TOWER SARIAB ROAD QTA   </t>
  </si>
  <si>
    <t>1800102</t>
  </si>
  <si>
    <t xml:space="preserve">MIAN GUNDI                    </t>
  </si>
  <si>
    <t>1817701</t>
  </si>
  <si>
    <t xml:space="preserve">LALABAD BY PASS               </t>
  </si>
  <si>
    <t xml:space="preserve">MASTUNG ROAD QUETTA(QDA)      </t>
  </si>
  <si>
    <t>26</t>
  </si>
  <si>
    <t>0028520</t>
  </si>
  <si>
    <t xml:space="preserve">M.D B.WASA                    </t>
  </si>
  <si>
    <t xml:space="preserve">ADDA COMPLEX QUETTA           </t>
  </si>
  <si>
    <t>0020000</t>
  </si>
  <si>
    <t xml:space="preserve">MUSSA COLONY MENGAL ABAD      </t>
  </si>
  <si>
    <t>0217000</t>
  </si>
  <si>
    <t xml:space="preserve">KHILJI ABAD BARACH ABAD       </t>
  </si>
  <si>
    <t xml:space="preserve">KOOCHI MADANI                 </t>
  </si>
  <si>
    <t>0605500</t>
  </si>
  <si>
    <t xml:space="preserve">CHIRMIAN  B  D A QTA          </t>
  </si>
  <si>
    <t xml:space="preserve">SHEEN GHAR HOSING             </t>
  </si>
  <si>
    <t>0667000</t>
  </si>
  <si>
    <t xml:space="preserve">BENEVOLENT FUND H/SCHEME      </t>
  </si>
  <si>
    <t>0811300</t>
  </si>
  <si>
    <t xml:space="preserve">KILLI CHILTAN MUHAMMAD SHAHI  </t>
  </si>
  <si>
    <t>0918200</t>
  </si>
  <si>
    <t xml:space="preserve">KILLI KAMALO                  </t>
  </si>
  <si>
    <t>1069100</t>
  </si>
  <si>
    <t xml:space="preserve">KILLI BAROW                   </t>
  </si>
  <si>
    <t xml:space="preserve">QAMBRANI ROAD QUETTA          </t>
  </si>
  <si>
    <t>1152501</t>
  </si>
  <si>
    <t xml:space="preserve">B.D.A COMMUNITY               </t>
  </si>
  <si>
    <t xml:space="preserve">C/O ABDUL REHMAN              </t>
  </si>
  <si>
    <t>BALOCH ABAD SARIAB ROAD QUETTA</t>
  </si>
  <si>
    <t>1189000</t>
  </si>
  <si>
    <t xml:space="preserve">QDA HAZAR GUNJI               </t>
  </si>
  <si>
    <t>1190800</t>
  </si>
  <si>
    <t xml:space="preserve">SHALKOT HOUSING               </t>
  </si>
  <si>
    <t xml:space="preserve">HAZAR GANJI QUETTA            </t>
  </si>
  <si>
    <t>1312801</t>
  </si>
  <si>
    <t xml:space="preserve">KILLI FAIZ ABAD               </t>
  </si>
  <si>
    <t>1332101</t>
  </si>
  <si>
    <t xml:space="preserve">HAQ BAHOO NEAR FAIZABAD       </t>
  </si>
  <si>
    <t>1532801</t>
  </si>
  <si>
    <t xml:space="preserve">KACHI BAIG                    </t>
  </si>
  <si>
    <t xml:space="preserve">FAROOQ ROAD QUETTA            </t>
  </si>
  <si>
    <t>1560601</t>
  </si>
  <si>
    <t>KILLI AHMED JAN CHAKI SHAHWANI</t>
  </si>
  <si>
    <t>HAFIZ BASIT SARIAB ROAD QUETTA</t>
  </si>
  <si>
    <t>1615701</t>
  </si>
  <si>
    <t xml:space="preserve">CHAKWAL MIAN KHAN             </t>
  </si>
  <si>
    <t>NEAR KECHI BAIG SARIAB ROAD QA</t>
  </si>
  <si>
    <t>1648131</t>
  </si>
  <si>
    <t>WATER SUPPLY SCHEME</t>
  </si>
  <si>
    <t>GORGEIJ ABAD</t>
  </si>
  <si>
    <t>HAZAR GHNJI QUETTA</t>
  </si>
  <si>
    <t>1675001</t>
  </si>
  <si>
    <t xml:space="preserve">KILLI QAMBRANI NASIR          </t>
  </si>
  <si>
    <t>1683901</t>
  </si>
  <si>
    <t xml:space="preserve">KILLI QAMBRANI                </t>
  </si>
  <si>
    <t>1817900</t>
  </si>
  <si>
    <t xml:space="preserve">ASSISTANT ENGINER WASA        </t>
  </si>
  <si>
    <t>1818000</t>
  </si>
  <si>
    <t xml:space="preserve">ZEHRI TOWN                    </t>
  </si>
  <si>
    <t>48132</t>
  </si>
  <si>
    <t>0045101</t>
  </si>
  <si>
    <t xml:space="preserve">DIRECTOR DEVEPMENT            </t>
  </si>
  <si>
    <t>WATER SUPPLY SCHEME (COMMUNITY</t>
  </si>
  <si>
    <t xml:space="preserve">LOWER KAREEZ SARIAB RD QTA    </t>
  </si>
  <si>
    <t>0117102</t>
  </si>
  <si>
    <t xml:space="preserve">GHAFOOR TOWN                  </t>
  </si>
  <si>
    <t>0129501</t>
  </si>
  <si>
    <t xml:space="preserve">WATER SUPPLY SCHEEM           </t>
  </si>
  <si>
    <t xml:space="preserve">GHOUSABAD QTA                 </t>
  </si>
  <si>
    <t>0238301</t>
  </si>
  <si>
    <t xml:space="preserve">GHOUS ABAD                    </t>
  </si>
  <si>
    <t>0246427</t>
  </si>
  <si>
    <t xml:space="preserve">DIRECTOR DEVELOPMENT          </t>
  </si>
  <si>
    <t xml:space="preserve">COMMUNITY WATER SUPPLY SCHEME </t>
  </si>
  <si>
    <t xml:space="preserve">SHAISTA TOWN GHOUSABAD QUETTA </t>
  </si>
  <si>
    <t>0255001</t>
  </si>
  <si>
    <t xml:space="preserve">KILLI HAQABAD                 </t>
  </si>
  <si>
    <t>0268901</t>
  </si>
  <si>
    <t xml:space="preserve">HAQABAD SARIAB ROAD QUETTA    </t>
  </si>
  <si>
    <t>0360301</t>
  </si>
  <si>
    <t xml:space="preserve">RAHIM COLONY                  </t>
  </si>
  <si>
    <t xml:space="preserve">ZAMINDAR ROAD QUETTA          </t>
  </si>
  <si>
    <t>0385301</t>
  </si>
  <si>
    <t xml:space="preserve">BASHIR CHOWK                  </t>
  </si>
  <si>
    <t xml:space="preserve">QAMBARANI QUETTA              </t>
  </si>
  <si>
    <t>0476707</t>
  </si>
  <si>
    <t>M.D</t>
  </si>
  <si>
    <t>KILLI BABA KHALID QAMBRANI QTA</t>
  </si>
  <si>
    <t>0482501</t>
  </si>
  <si>
    <t>KILLI SURAB KHAN HAJI RAUF</t>
  </si>
  <si>
    <t>QAMBRANI QTA</t>
  </si>
  <si>
    <t>0502718</t>
  </si>
  <si>
    <t xml:space="preserve">FAROZ ABAD                    </t>
  </si>
  <si>
    <t>0507801</t>
  </si>
  <si>
    <t>WATER SUPPLY SCHEME BOLAN TOWN</t>
  </si>
  <si>
    <t>SHAHEED MALIK DEHWAR STREET QT</t>
  </si>
  <si>
    <t>0534701</t>
  </si>
  <si>
    <t>KILLI GEO SHAFI LEHRI CHOWK</t>
  </si>
  <si>
    <t>0544401</t>
  </si>
  <si>
    <t>MARRI STREET MANGLA ABAD</t>
  </si>
  <si>
    <t>0592901</t>
  </si>
  <si>
    <t>KILLI DR SATTAR KIRANI</t>
  </si>
  <si>
    <t>0948202</t>
  </si>
  <si>
    <t xml:space="preserve">WATER SUPPLY ITEHAD COLONY    </t>
  </si>
  <si>
    <t xml:space="preserve">KIRANI ROAD                   </t>
  </si>
  <si>
    <t>0959103</t>
  </si>
  <si>
    <t xml:space="preserve">GULSHAN E IQBAL               </t>
  </si>
  <si>
    <t xml:space="preserve">KIRANI ROAD QUETTA            </t>
  </si>
  <si>
    <t>1230803</t>
  </si>
  <si>
    <t xml:space="preserve">EXECUTIVE ENGINEER-III        </t>
  </si>
  <si>
    <t xml:space="preserve">STREET LIGHT JABAL-E-NOOR     </t>
  </si>
  <si>
    <t xml:space="preserve">WESTREN BY PASS QUETTA        </t>
  </si>
  <si>
    <t>1248702</t>
  </si>
  <si>
    <t>KHALIQ ABAD HAZARA TWON QUETTA</t>
  </si>
  <si>
    <t>1260801</t>
  </si>
  <si>
    <t xml:space="preserve">HAZARA TOWN QUETTA            </t>
  </si>
  <si>
    <t>1379900</t>
  </si>
  <si>
    <t xml:space="preserve">RAISANI ROAD                  </t>
  </si>
  <si>
    <t xml:space="preserve">NEAR SABZAL ROAD (KABARI) QTA </t>
  </si>
  <si>
    <t>1602302</t>
  </si>
  <si>
    <t xml:space="preserve">HAZARA TOWN QABRISTAN         </t>
  </si>
  <si>
    <t>1668432</t>
  </si>
  <si>
    <t>BAZ MUHAMMAD TOWN KILLI BADAZI</t>
  </si>
  <si>
    <t>W BYPASS QTA</t>
  </si>
  <si>
    <t>2015102</t>
  </si>
  <si>
    <t>HAZARA TOWN</t>
  </si>
  <si>
    <t>2142301</t>
  </si>
  <si>
    <t xml:space="preserve">KILLI GULZAR LAHRI ABAD       </t>
  </si>
  <si>
    <t xml:space="preserve">CHILTAN-1 WESTREN BY PASS     </t>
  </si>
  <si>
    <t>2142302</t>
  </si>
  <si>
    <t xml:space="preserve">KILLI GULZAR                  </t>
  </si>
  <si>
    <t>0024701</t>
  </si>
  <si>
    <t xml:space="preserve">KILLI KHAIR ULLAH GHOUSABAD   </t>
  </si>
  <si>
    <t>0129500</t>
  </si>
  <si>
    <t xml:space="preserve">UMEED COLONY                  </t>
  </si>
  <si>
    <t xml:space="preserve">SARMASTAN SARAIB ROAD QUETTA  </t>
  </si>
  <si>
    <t>0155608</t>
  </si>
  <si>
    <t xml:space="preserve">COMMUNITY WATER SUPPLY SCHEEM </t>
  </si>
  <si>
    <t xml:space="preserve">IQBAL ABAD HAZARA TOWN QTA    </t>
  </si>
  <si>
    <t>0157200</t>
  </si>
  <si>
    <t xml:space="preserve">KILLI KHAIRABAD               </t>
  </si>
  <si>
    <t xml:space="preserve">GHOUS ABAD QTA                </t>
  </si>
  <si>
    <t>0292000</t>
  </si>
  <si>
    <t xml:space="preserve">KILLI GHAREEB ABAD            </t>
  </si>
  <si>
    <t>0339000</t>
  </si>
  <si>
    <t xml:space="preserve">DUR MUHAMMAD                  </t>
  </si>
  <si>
    <t xml:space="preserve">ZAMENDAR ROAD QUETA           </t>
  </si>
  <si>
    <t>0412101</t>
  </si>
  <si>
    <t xml:space="preserve">KILLI NAIK MUHAMMAD           </t>
  </si>
  <si>
    <t>0430500</t>
  </si>
  <si>
    <t xml:space="preserve">KILLI KHOOZ BAGH              </t>
  </si>
  <si>
    <t>0585100</t>
  </si>
  <si>
    <t xml:space="preserve">DEHWAR COLONY                 </t>
  </si>
  <si>
    <t>0995700</t>
  </si>
  <si>
    <t xml:space="preserve">POODGALI CHOWK                </t>
  </si>
  <si>
    <t>1068800</t>
  </si>
  <si>
    <t xml:space="preserve">KILLI IBRAHIMZAI              </t>
  </si>
  <si>
    <t>1090350</t>
  </si>
  <si>
    <t xml:space="preserve">ITHAD COLONY                  </t>
  </si>
  <si>
    <t>1229800</t>
  </si>
  <si>
    <t xml:space="preserve">STORE BEROWRY RD QTA          </t>
  </si>
  <si>
    <t>1229900</t>
  </si>
  <si>
    <t xml:space="preserve">WASA STORE                    </t>
  </si>
  <si>
    <t xml:space="preserve">WESTREN BYPASS QUETTA         </t>
  </si>
  <si>
    <t>1282703</t>
  </si>
  <si>
    <t xml:space="preserve">GULSHAN-E-HASSAN              </t>
  </si>
  <si>
    <t xml:space="preserve">BROWERY ROAD QUETTA           </t>
  </si>
  <si>
    <t>1490501</t>
  </si>
  <si>
    <t xml:space="preserve">ALI ABAD                      </t>
  </si>
  <si>
    <t>1706001</t>
  </si>
  <si>
    <t>1774101</t>
  </si>
  <si>
    <t>DIRECTOR DEVELOPMENT</t>
  </si>
  <si>
    <t>BASHER TOWN KIRANI ROAD QUETTA</t>
  </si>
  <si>
    <t>48133</t>
  </si>
  <si>
    <t>0033500</t>
  </si>
  <si>
    <t xml:space="preserve">KILLI BARAT                   </t>
  </si>
  <si>
    <t>0033503</t>
  </si>
  <si>
    <t xml:space="preserve">KILLI PAIND KHAN              </t>
  </si>
  <si>
    <t>0033504</t>
  </si>
  <si>
    <t xml:space="preserve">KILLI SHAKERZAI SYEDAN ROAD   </t>
  </si>
  <si>
    <t>0069200</t>
  </si>
  <si>
    <t xml:space="preserve">KILLI JUMA                    </t>
  </si>
  <si>
    <t xml:space="preserve">NEAR JINNAH TOWN QUETTA       </t>
  </si>
  <si>
    <t>0518408</t>
  </si>
  <si>
    <t xml:space="preserve">CHILTAN HOUSING SCHEME        </t>
  </si>
  <si>
    <t>SHEIKH MANDA AIRPORT RD QUETTA</t>
  </si>
  <si>
    <t>0525500</t>
  </si>
  <si>
    <t xml:space="preserve">MASJID QUETTA                 </t>
  </si>
  <si>
    <t>0525501</t>
  </si>
  <si>
    <t xml:space="preserve">TANKI QUETTA                  </t>
  </si>
  <si>
    <t>0556901</t>
  </si>
  <si>
    <t xml:space="preserve">KILLI PAKHAZAI SYEDAN         </t>
  </si>
  <si>
    <t xml:space="preserve">AIRPORT ROAD QUETTA           </t>
  </si>
  <si>
    <t>0569400</t>
  </si>
  <si>
    <t>KILLI GUL MUHAMMAD (SAAD ULLAH</t>
  </si>
  <si>
    <t>0589700</t>
  </si>
  <si>
    <t xml:space="preserve">KILLI GUL MUHAMMAD LATIFABAD  </t>
  </si>
  <si>
    <t xml:space="preserve">AIR PORT ROAD QUETTA          </t>
  </si>
  <si>
    <t>0594900</t>
  </si>
  <si>
    <t xml:space="preserve">QIAL SAIDAN                   </t>
  </si>
  <si>
    <t>0613200</t>
  </si>
  <si>
    <t xml:space="preserve">JATTAK ABAD                   </t>
  </si>
  <si>
    <t>WAHID AGHA AIRPORT ROAD QUETTA</t>
  </si>
  <si>
    <t xml:space="preserve">KILLI ALMAS                   </t>
  </si>
  <si>
    <t xml:space="preserve">KHAROTABAD QUETTA             </t>
  </si>
  <si>
    <t>0653700</t>
  </si>
  <si>
    <t xml:space="preserve">M.P WASA                      </t>
  </si>
  <si>
    <t xml:space="preserve">KILLI ALYAS                   </t>
  </si>
  <si>
    <t xml:space="preserve">NEAR KILLI MUBARAK QUETTA     </t>
  </si>
  <si>
    <t>0724700</t>
  </si>
  <si>
    <t xml:space="preserve">KILLI ALAM KHAN               </t>
  </si>
  <si>
    <t>0734700</t>
  </si>
  <si>
    <t xml:space="preserve">ALAM KHAN KANSI               </t>
  </si>
  <si>
    <t>0769900</t>
  </si>
  <si>
    <t xml:space="preserve">KILLI ALAM KHAN NAZIM         </t>
  </si>
  <si>
    <t>0808002</t>
  </si>
  <si>
    <t>0991001</t>
  </si>
  <si>
    <t xml:space="preserve">AIRPORT VILLAS                </t>
  </si>
  <si>
    <t>1160900</t>
  </si>
  <si>
    <t xml:space="preserve">CHIRSTEN COLONY               </t>
  </si>
  <si>
    <t xml:space="preserve">SUMANGLI ROAD QUETTA          </t>
  </si>
  <si>
    <t>1237810</t>
  </si>
  <si>
    <t xml:space="preserve">DIRECTOR GENERAL Q.D.A        </t>
  </si>
  <si>
    <t>1277326</t>
  </si>
  <si>
    <t xml:space="preserve">BERWERY ROAD MUSLIM ABAD      </t>
  </si>
  <si>
    <t xml:space="preserve">SABZAL ROAD QUETTA            </t>
  </si>
  <si>
    <t>0028622</t>
  </si>
  <si>
    <t xml:space="preserve">M.D (WASA)                    </t>
  </si>
  <si>
    <t>0034502</t>
  </si>
  <si>
    <t xml:space="preserve">TAREEN ABAD QUETTA            </t>
  </si>
  <si>
    <t>0061600</t>
  </si>
  <si>
    <t xml:space="preserve">KILLI KHAIRULLAH              </t>
  </si>
  <si>
    <t>0070509</t>
  </si>
  <si>
    <t xml:space="preserve">KILLI KHAZI                   </t>
  </si>
  <si>
    <t xml:space="preserve">KILLI TAWS MUSLIMABAD         </t>
  </si>
  <si>
    <t>0479000</t>
  </si>
  <si>
    <t>AGHA VILLA AIRPORT ROAD QUETTA</t>
  </si>
  <si>
    <t>0525502</t>
  </si>
  <si>
    <t xml:space="preserve">LABOUR COLONY QUETTA          </t>
  </si>
  <si>
    <t>0600600</t>
  </si>
  <si>
    <t xml:space="preserve">KILLI GUL MUHAMMAD            </t>
  </si>
  <si>
    <t xml:space="preserve">JALAL ABAD AIRPORT ROAD QTA   </t>
  </si>
  <si>
    <t>0614000</t>
  </si>
  <si>
    <t xml:space="preserve">KILLI SAIDAN                  </t>
  </si>
  <si>
    <t>0637600</t>
  </si>
  <si>
    <t xml:space="preserve">SHEIKH MANDA ZIARAT           </t>
  </si>
  <si>
    <t>0637700</t>
  </si>
  <si>
    <t xml:space="preserve">KILLI MUSLIM ABAD             </t>
  </si>
  <si>
    <t>0653100</t>
  </si>
  <si>
    <t xml:space="preserve">KILLI MUBARAK                 </t>
  </si>
  <si>
    <t xml:space="preserve">SHAHI KARAZ QUETTA            </t>
  </si>
  <si>
    <t>0720600</t>
  </si>
  <si>
    <t>0778207</t>
  </si>
  <si>
    <t xml:space="preserve">KILLI ALAM (NAZIM KARIM)      </t>
  </si>
  <si>
    <t xml:space="preserve">ACHAKZAI ROAD QUETTA          </t>
  </si>
  <si>
    <t>0806701</t>
  </si>
  <si>
    <t xml:space="preserve">YOUSAFZAI COLONY              </t>
  </si>
  <si>
    <t xml:space="preserve">NEAR G.O.R COLONY QTA         </t>
  </si>
  <si>
    <t>0903100</t>
  </si>
  <si>
    <t xml:space="preserve">KAMRAN MURTAZA                </t>
  </si>
  <si>
    <t xml:space="preserve">S/SCHEME QUETTA               </t>
  </si>
  <si>
    <t>0910100</t>
  </si>
  <si>
    <t xml:space="preserve">KILLI SHABO MPA               </t>
  </si>
  <si>
    <t>0933500</t>
  </si>
  <si>
    <t xml:space="preserve">KILLI SHABO(KHETEE)           </t>
  </si>
  <si>
    <t>0946801</t>
  </si>
  <si>
    <t xml:space="preserve">JINNAH TOWN                   </t>
  </si>
  <si>
    <t>1078500</t>
  </si>
  <si>
    <t>SUMANGLI HOUSING (ROUND ABOUT)</t>
  </si>
  <si>
    <t>1078501</t>
  </si>
  <si>
    <t xml:space="preserve">SAMUNGLI HOUSSING SCHEME      </t>
  </si>
  <si>
    <t xml:space="preserve">SAMUNGLI ROAD QTA             </t>
  </si>
  <si>
    <t>1234600</t>
  </si>
  <si>
    <t xml:space="preserve">AKBAABAD BDA                  </t>
  </si>
  <si>
    <t xml:space="preserve">SPINI ROAD QUETTA             </t>
  </si>
  <si>
    <t>1240800</t>
  </si>
  <si>
    <t xml:space="preserve">ARBAB TOWN                    </t>
  </si>
  <si>
    <t>1455100</t>
  </si>
  <si>
    <t xml:space="preserve">KILLI BADEZAI QUETTA          </t>
  </si>
  <si>
    <t xml:space="preserve">KHEZAI CHOWK QUETTA           </t>
  </si>
  <si>
    <t>1455301</t>
  </si>
  <si>
    <t xml:space="preserve">KILLI ZARDAN                  </t>
  </si>
  <si>
    <t>48134</t>
  </si>
  <si>
    <t xml:space="preserve">QDA DY DIR MUNCIPAL FUNCTION  </t>
  </si>
  <si>
    <t xml:space="preserve">H GANJI QTA                   </t>
  </si>
  <si>
    <t>0956600</t>
  </si>
  <si>
    <t xml:space="preserve">WASH ROOM NO 6 BUS STAND      </t>
  </si>
  <si>
    <t xml:space="preserve">H GNAJI QTA                   </t>
  </si>
  <si>
    <t>0957400</t>
  </si>
  <si>
    <t xml:space="preserve">WASH ROOM NO 12 BUS STAND     </t>
  </si>
  <si>
    <t xml:space="preserve">DIRECTOR                      </t>
  </si>
  <si>
    <t xml:space="preserve">BUS ADDA H.GHANGI QUETTA      </t>
  </si>
  <si>
    <t>0876300</t>
  </si>
  <si>
    <t>0028770</t>
  </si>
  <si>
    <t xml:space="preserve">M.D B-WASA                    </t>
  </si>
  <si>
    <t xml:space="preserve">TUBWELL NO 8 BUS TRUCK ADDA   </t>
  </si>
  <si>
    <t xml:space="preserve">HAZAR GANJI QTA               </t>
  </si>
  <si>
    <t>0881100</t>
  </si>
  <si>
    <t xml:space="preserve">TRUCK ADDA QDA-6(HR)          </t>
  </si>
  <si>
    <t>48135</t>
  </si>
  <si>
    <t>0030601</t>
  </si>
  <si>
    <t xml:space="preserve">KILLI NEW NICHARI             </t>
  </si>
  <si>
    <t xml:space="preserve">NEAR GASS OFFICE QUETTA       </t>
  </si>
  <si>
    <t>0062000</t>
  </si>
  <si>
    <t xml:space="preserve">SHAIKH UMER ROAD QUETTA       </t>
  </si>
  <si>
    <t>0406500</t>
  </si>
  <si>
    <t xml:space="preserve">SUBZAL ROAD                   </t>
  </si>
  <si>
    <t>0475400</t>
  </si>
  <si>
    <t xml:space="preserve">RAILWAY CORPRAITVE SOCITY     </t>
  </si>
  <si>
    <t xml:space="preserve">BROWRY ROAD QUETTA            </t>
  </si>
  <si>
    <t>0519801</t>
  </si>
  <si>
    <t>WATER SUPPLY SCHEEM</t>
  </si>
  <si>
    <t>ARBAB GHULAM ALI RD KILLI DEBA</t>
  </si>
  <si>
    <t>0529501</t>
  </si>
  <si>
    <t xml:space="preserve">KILLI DEBA LANGOVE            </t>
  </si>
  <si>
    <t>0660605</t>
  </si>
  <si>
    <t xml:space="preserve">KILLI SARDA                   </t>
  </si>
  <si>
    <t>0792801</t>
  </si>
  <si>
    <t xml:space="preserve">KILLI FEROZA ABAD SABZAL RD   </t>
  </si>
  <si>
    <t>1182101</t>
  </si>
  <si>
    <t xml:space="preserve">JABL E NOOR W BYPASS          </t>
  </si>
  <si>
    <t>1190301</t>
  </si>
  <si>
    <t xml:space="preserve">FAZAL JAN                     </t>
  </si>
  <si>
    <t xml:space="preserve">KHORAT-A-BAD                  </t>
  </si>
  <si>
    <t>1213402</t>
  </si>
  <si>
    <t>MD</t>
  </si>
  <si>
    <t>GHAZI ABDULLAH PSHTON BAGH QTA</t>
  </si>
  <si>
    <t>1814601</t>
  </si>
  <si>
    <t>TUBE WELL 2 AFGAHAN ROAD QTA</t>
  </si>
  <si>
    <t>1816000</t>
  </si>
  <si>
    <t xml:space="preserve">KHAROT ABAD                   </t>
  </si>
  <si>
    <t>1823300</t>
  </si>
  <si>
    <t xml:space="preserve">SIPPNI ROAD                   </t>
  </si>
  <si>
    <t>0028790</t>
  </si>
  <si>
    <t xml:space="preserve">XEN Q D A                     </t>
  </si>
  <si>
    <t xml:space="preserve">SPENI ROAD                    </t>
  </si>
  <si>
    <t>0012200</t>
  </si>
  <si>
    <t xml:space="preserve">TAJAK ABAD                    </t>
  </si>
  <si>
    <t>0273800</t>
  </si>
  <si>
    <t xml:space="preserve">KIILI DEBA (FOOJAN)           </t>
  </si>
  <si>
    <t>0461901</t>
  </si>
  <si>
    <t xml:space="preserve">KILLI TARKHA-1                </t>
  </si>
  <si>
    <t>0500400</t>
  </si>
  <si>
    <t xml:space="preserve">KILLI SHERANI TARKHA          </t>
  </si>
  <si>
    <t>0500401</t>
  </si>
  <si>
    <t>KILLI SHERANI TARKHA QUETTA</t>
  </si>
  <si>
    <t>0529502</t>
  </si>
  <si>
    <t xml:space="preserve">KILLI TIRKHA HAZRAT UMER      </t>
  </si>
  <si>
    <t>0553000</t>
  </si>
  <si>
    <t xml:space="preserve">KILLI DEBA NO-3               </t>
  </si>
  <si>
    <t xml:space="preserve">SHER MUHAMMAD                 </t>
  </si>
  <si>
    <t>0621400</t>
  </si>
  <si>
    <t xml:space="preserve">KILLI GISHKORI                </t>
  </si>
  <si>
    <t>0687100</t>
  </si>
  <si>
    <t xml:space="preserve">KASHMIR ABAD                  </t>
  </si>
  <si>
    <t>1811100</t>
  </si>
  <si>
    <t xml:space="preserve">SAMINA SAEED                  </t>
  </si>
  <si>
    <t xml:space="preserve">KILLI QAMRANI QUETTA          </t>
  </si>
  <si>
    <t>1814600</t>
  </si>
  <si>
    <t xml:space="preserve">HAJI LAL GUL                  </t>
  </si>
  <si>
    <t xml:space="preserve">PASHTOON BAGH QUETTA          </t>
  </si>
  <si>
    <t>1814800</t>
  </si>
  <si>
    <t xml:space="preserve">WALI JAN NAZIM                </t>
  </si>
  <si>
    <t>1815200</t>
  </si>
  <si>
    <t xml:space="preserve">UNICEF                        </t>
  </si>
  <si>
    <t>1815300</t>
  </si>
  <si>
    <t xml:space="preserve">HAJI NIAZ                     </t>
  </si>
  <si>
    <t>1815900</t>
  </si>
  <si>
    <t xml:space="preserve">KHAROTABAD                    </t>
  </si>
  <si>
    <t xml:space="preserve">SADIQ ABAD QUETTA             </t>
  </si>
  <si>
    <t>1817800</t>
  </si>
  <si>
    <t xml:space="preserve">TUBE WELL NO.3                </t>
  </si>
  <si>
    <t xml:space="preserve">KHARAT ABAD QUETTA            </t>
  </si>
  <si>
    <t>48241</t>
  </si>
  <si>
    <t>0423603</t>
  </si>
  <si>
    <t xml:space="preserve">B.D.A  PLANT                  </t>
  </si>
  <si>
    <t xml:space="preserve">NASAI MUSLIM BAGH             </t>
  </si>
  <si>
    <t>12</t>
  </si>
  <si>
    <t xml:space="preserve">4502 </t>
  </si>
  <si>
    <t>48322</t>
  </si>
  <si>
    <t>0638602</t>
  </si>
  <si>
    <t>PUBLIC LAIBRARY</t>
  </si>
  <si>
    <t>KHARAN</t>
  </si>
  <si>
    <t>52008</t>
  </si>
  <si>
    <t>03553</t>
  </si>
  <si>
    <t>48421</t>
  </si>
  <si>
    <t>0438200</t>
  </si>
  <si>
    <t xml:space="preserve">BALOCHISTAN BOARD OF          </t>
  </si>
  <si>
    <t xml:space="preserve">EDUCATION WARD NO.7 DM JAMALI </t>
  </si>
  <si>
    <t xml:space="preserve">DISTT:NASIR ABAD              </t>
  </si>
  <si>
    <t>52101</t>
  </si>
  <si>
    <t xml:space="preserve">6215 </t>
  </si>
  <si>
    <t>48511</t>
  </si>
  <si>
    <t>1901306</t>
  </si>
  <si>
    <t xml:space="preserve">WSS GENRAL MANAGER BDA QUETTA </t>
  </si>
  <si>
    <t>AT MAHLLAH GRID COLONY THARATT</t>
  </si>
  <si>
    <t xml:space="preserve">PISHIN                        </t>
  </si>
  <si>
    <t>1938401</t>
  </si>
  <si>
    <t xml:space="preserve">AT KILLI THARATTA PISHIN      </t>
  </si>
  <si>
    <t>48512</t>
  </si>
  <si>
    <t>3170201</t>
  </si>
  <si>
    <t xml:space="preserve">W.S.S BDA                     </t>
  </si>
  <si>
    <t xml:space="preserve">KILLI NILI BOSTAN YARU        </t>
  </si>
  <si>
    <t>48611</t>
  </si>
  <si>
    <t>0496210</t>
  </si>
  <si>
    <t xml:space="preserve">PUBLIC LIBRARY                </t>
  </si>
  <si>
    <t xml:space="preserve">NEAR POLICE STATION           </t>
  </si>
  <si>
    <t xml:space="preserve">TURBAT                        </t>
  </si>
  <si>
    <t xml:space="preserve">3553 </t>
  </si>
  <si>
    <t>0647300</t>
  </si>
  <si>
    <t xml:space="preserve">NEAR QESCO COLONY             </t>
  </si>
  <si>
    <t>0496220</t>
  </si>
  <si>
    <t xml:space="preserve">KACH LIBRARY                  </t>
  </si>
  <si>
    <t xml:space="preserve">UNIVERSITY                    </t>
  </si>
  <si>
    <t xml:space="preserve">0101 </t>
  </si>
  <si>
    <t>0596040</t>
  </si>
  <si>
    <t xml:space="preserve">UNIVERSITY CAMPUS             </t>
  </si>
  <si>
    <t>48612</t>
  </si>
  <si>
    <t>1557203</t>
  </si>
  <si>
    <t xml:space="preserve">WATAN PUBLIC                  </t>
  </si>
  <si>
    <t xml:space="preserve">KHUDABADAN                    </t>
  </si>
  <si>
    <t xml:space="preserve">PANJGOOR                      </t>
  </si>
  <si>
    <t>1561980</t>
  </si>
  <si>
    <t xml:space="preserve">CHITKAN                       </t>
  </si>
  <si>
    <t>1561982</t>
  </si>
  <si>
    <t>DIGITAL</t>
  </si>
  <si>
    <t>CHITKAN</t>
  </si>
  <si>
    <t>PANJGOOR</t>
  </si>
  <si>
    <t>48621</t>
  </si>
  <si>
    <t>0423110</t>
  </si>
  <si>
    <t xml:space="preserve">CENTRAL PARK                  </t>
  </si>
  <si>
    <t xml:space="preserve">FAQEER COLONY                 </t>
  </si>
  <si>
    <t xml:space="preserve">GWADAR                        </t>
  </si>
  <si>
    <t>52138</t>
  </si>
  <si>
    <t>0001425</t>
  </si>
  <si>
    <t xml:space="preserve">DESALINATION PLANT            </t>
  </si>
  <si>
    <t xml:space="preserve">2708 </t>
  </si>
  <si>
    <t>0015000</t>
  </si>
  <si>
    <t xml:space="preserve">G.D.A                         </t>
  </si>
  <si>
    <t>03</t>
  </si>
  <si>
    <t>1557300</t>
  </si>
  <si>
    <t>G.D.A MASJID</t>
  </si>
  <si>
    <t>GWADAR</t>
  </si>
  <si>
    <t>GAWADAR</t>
  </si>
  <si>
    <t>1559710</t>
  </si>
  <si>
    <t xml:space="preserve">FUTSAL GROUND                 </t>
  </si>
  <si>
    <t xml:space="preserve">NEAR GOVERNOR HOUSE           </t>
  </si>
  <si>
    <t xml:space="preserve">GAWADER                       </t>
  </si>
  <si>
    <t>1578610</t>
  </si>
  <si>
    <t xml:space="preserve">XEN ELECTRICAL                </t>
  </si>
  <si>
    <t xml:space="preserve">AIR PORT ROAD                 </t>
  </si>
  <si>
    <t>1578620</t>
  </si>
  <si>
    <t xml:space="preserve">AIRPORT ROAD                  </t>
  </si>
  <si>
    <t>1587100</t>
  </si>
  <si>
    <t xml:space="preserve">GAWADAR DEVELOPMENT AUTH:     </t>
  </si>
  <si>
    <t xml:space="preserve">GAWADAR                       </t>
  </si>
  <si>
    <t xml:space="preserve">1210 </t>
  </si>
  <si>
    <t>1587110</t>
  </si>
  <si>
    <t xml:space="preserve">CHINA PAKISTAN FRIENDSHIP     </t>
  </si>
  <si>
    <t xml:space="preserve">G D A HOSPITAL                </t>
  </si>
  <si>
    <t xml:space="preserve">3401 </t>
  </si>
  <si>
    <t>1587150</t>
  </si>
  <si>
    <t xml:space="preserve">RESTAURANT AND CANTEEN G D A  </t>
  </si>
  <si>
    <t xml:space="preserve">PADIZER PARKT                 </t>
  </si>
  <si>
    <t>1588750</t>
  </si>
  <si>
    <t xml:space="preserve">G.P.A                         </t>
  </si>
  <si>
    <t>29</t>
  </si>
  <si>
    <t xml:space="preserve">0000 </t>
  </si>
  <si>
    <t>1589150</t>
  </si>
  <si>
    <t xml:space="preserve">XEN ELECRICAL                 </t>
  </si>
  <si>
    <t xml:space="preserve">AIR PORT RD                   </t>
  </si>
  <si>
    <t>1589250</t>
  </si>
  <si>
    <t xml:space="preserve">BALOCHISTAN COUSTEL           </t>
  </si>
  <si>
    <t xml:space="preserve">COMPLEX CBCDA                 </t>
  </si>
  <si>
    <t>0015100</t>
  </si>
  <si>
    <t>STREET LIGHT</t>
  </si>
  <si>
    <t>AIR PORT ROAD GWADAR</t>
  </si>
  <si>
    <t>06701</t>
  </si>
  <si>
    <t>0071702</t>
  </si>
  <si>
    <t xml:space="preserve">REST HOUSE                    </t>
  </si>
  <si>
    <t xml:space="preserve">P H E COLONY                  </t>
  </si>
  <si>
    <t>06</t>
  </si>
  <si>
    <t xml:space="preserve">2602 </t>
  </si>
  <si>
    <t>1558406</t>
  </si>
  <si>
    <t>HAMAL</t>
  </si>
  <si>
    <t>NEW TOWN</t>
  </si>
  <si>
    <t>01715</t>
  </si>
  <si>
    <t>1626281</t>
  </si>
  <si>
    <t xml:space="preserve">WATER TREATMENT               </t>
  </si>
  <si>
    <t xml:space="preserve">GAWDAR                        </t>
  </si>
  <si>
    <t>1629010</t>
  </si>
  <si>
    <t xml:space="preserve">XEN (E&amp;M)                     </t>
  </si>
  <si>
    <t xml:space="preserve">MARINE DRIVE                  </t>
  </si>
  <si>
    <t xml:space="preserve">6704 </t>
  </si>
  <si>
    <t>1629015</t>
  </si>
  <si>
    <t>GDA GWADAR</t>
  </si>
  <si>
    <t>1629020</t>
  </si>
  <si>
    <t>1629030</t>
  </si>
  <si>
    <t>S.M.D SCREEN</t>
  </si>
  <si>
    <t>PADI ZAR PARK</t>
  </si>
  <si>
    <t>1632700</t>
  </si>
  <si>
    <t xml:space="preserve">G.D.A WET WELL                </t>
  </si>
  <si>
    <t xml:space="preserve">PUMPING STATION               </t>
  </si>
  <si>
    <t xml:space="preserve">JETY GWADAR                   </t>
  </si>
  <si>
    <t>1632800</t>
  </si>
  <si>
    <t xml:space="preserve">G.D.A NEW WELL                </t>
  </si>
  <si>
    <t>1632900</t>
  </si>
  <si>
    <t xml:space="preserve">GDA                           </t>
  </si>
  <si>
    <t>48622</t>
  </si>
  <si>
    <t>0931707</t>
  </si>
  <si>
    <t xml:space="preserve">B.D.A                         </t>
  </si>
  <si>
    <t xml:space="preserve">WATER DESALINATION PLANT      </t>
  </si>
  <si>
    <t>1589280</t>
  </si>
  <si>
    <t>1590500</t>
  </si>
  <si>
    <t xml:space="preserve">SAWAR DAM                     </t>
  </si>
  <si>
    <t xml:space="preserve">0504 </t>
  </si>
  <si>
    <t>1590858</t>
  </si>
  <si>
    <t xml:space="preserve">GAWADER DEVELOPMENT AUTHORITY </t>
  </si>
  <si>
    <t xml:space="preserve">NEAR OLD AIR PORT ROAD        </t>
  </si>
  <si>
    <t>1591252</t>
  </si>
  <si>
    <t>ACADEMIC BLOCK</t>
  </si>
  <si>
    <t>G.I.T GWADAR</t>
  </si>
  <si>
    <t>03505</t>
  </si>
  <si>
    <t>48623</t>
  </si>
  <si>
    <t>1552120</t>
  </si>
  <si>
    <t>EXECUTIVE ENGINEER (BDA)</t>
  </si>
  <si>
    <t>FISH PROCESSING PLANT</t>
  </si>
  <si>
    <t>PASNI</t>
  </si>
  <si>
    <t>MATCH</t>
  </si>
  <si>
    <t>NOT MATCH</t>
  </si>
  <si>
    <t>TOTAL</t>
  </si>
  <si>
    <t xml:space="preserve">ALL </t>
  </si>
  <si>
    <t>ACCURCY</t>
  </si>
  <si>
    <t>0247301</t>
  </si>
  <si>
    <t>XEN B-WASA</t>
  </si>
  <si>
    <t>REHMAT COLONY  GALI NO.04</t>
  </si>
  <si>
    <t>1364301</t>
  </si>
  <si>
    <t>JADEED ABAD</t>
  </si>
  <si>
    <t>PASHTOON ABAD QUETTA</t>
  </si>
  <si>
    <t>XEN WASA</t>
  </si>
  <si>
    <t>1690903</t>
  </si>
  <si>
    <t xml:space="preserve">BDA COLONY                    </t>
  </si>
  <si>
    <t>1529601</t>
  </si>
  <si>
    <t xml:space="preserve">B.WASA KUCHA SHER MUHAMMAD    </t>
  </si>
  <si>
    <t>1070401</t>
  </si>
  <si>
    <t xml:space="preserve">DIRECTOR PUBLIC HEALTH        </t>
  </si>
  <si>
    <t xml:space="preserve">SIRKI ROAD                    </t>
  </si>
  <si>
    <t>1581601</t>
  </si>
  <si>
    <t xml:space="preserve">ARBAB STREET SIRKI RD         </t>
  </si>
  <si>
    <t>1598901</t>
  </si>
  <si>
    <t xml:space="preserve">DISTRICT OFFICER P.H.E QUETTA </t>
  </si>
  <si>
    <t xml:space="preserve">T/WELL CONNECTION AT SIRKI    </t>
  </si>
  <si>
    <t xml:space="preserve">KALAN-I QUETTA                </t>
  </si>
  <si>
    <t>0992800</t>
  </si>
  <si>
    <t xml:space="preserve">XEX B WASA                    </t>
  </si>
  <si>
    <t>1516400</t>
  </si>
  <si>
    <t xml:space="preserve">DIRECTOR WASA TUBE WELL QMC   </t>
  </si>
  <si>
    <t xml:space="preserve">QURBAN ALI  BAGH SARAIB ROAD  </t>
  </si>
  <si>
    <t>0054900</t>
  </si>
  <si>
    <t xml:space="preserve">MASJID QUBA                   </t>
  </si>
  <si>
    <t xml:space="preserve">FRUIT MARKET                  </t>
  </si>
  <si>
    <t xml:space="preserve">S TOWN QTA                    </t>
  </si>
  <si>
    <t>0149520</t>
  </si>
  <si>
    <t xml:space="preserve">TARO CHOWK PASHTOON ABAD      </t>
  </si>
  <si>
    <t>0342500</t>
  </si>
  <si>
    <t xml:space="preserve">PASHTOON ABAD DARA KHAIR M.   </t>
  </si>
  <si>
    <t>0752201</t>
  </si>
  <si>
    <t>WSS MUHALLA MUDASIR WAFA ROAD</t>
  </si>
  <si>
    <t>QUETTA.</t>
  </si>
  <si>
    <t>0752501</t>
  </si>
  <si>
    <t>0884734</t>
  </si>
  <si>
    <t>0740500</t>
  </si>
  <si>
    <t xml:space="preserve">DIRECTOR WATER SUPLY          </t>
  </si>
  <si>
    <t xml:space="preserve">YAZDAN KHAN ROAD              </t>
  </si>
  <si>
    <t>0995800</t>
  </si>
  <si>
    <t xml:space="preserve">ALLAH DINA ROAD SHALDARA QTA  </t>
  </si>
  <si>
    <t>1156801</t>
  </si>
  <si>
    <t xml:space="preserve">ALIF DIN ROAD QUETTA          </t>
  </si>
  <si>
    <t>1246802</t>
  </si>
  <si>
    <t xml:space="preserve">MD B.WASA T/WELL              </t>
  </si>
  <si>
    <t xml:space="preserve">KANSI KILLA KANSI ROAD        </t>
  </si>
  <si>
    <t>0877501</t>
  </si>
  <si>
    <t>0877700</t>
  </si>
  <si>
    <t xml:space="preserve">T.WELL STEED ABAD             </t>
  </si>
  <si>
    <t>2256101</t>
  </si>
  <si>
    <t xml:space="preserve">PEER MUHAMMAD ROAD            </t>
  </si>
  <si>
    <t>0001100</t>
  </si>
  <si>
    <t>0005300</t>
  </si>
  <si>
    <t xml:space="preserve">NASEER ABAD                   </t>
  </si>
  <si>
    <t>0005500</t>
  </si>
  <si>
    <t>0007500</t>
  </si>
  <si>
    <t>0007800</t>
  </si>
  <si>
    <t>0008100</t>
  </si>
  <si>
    <t>0008200</t>
  </si>
  <si>
    <t xml:space="preserve">M.D. B.WASA                   </t>
  </si>
  <si>
    <t>0632300</t>
  </si>
  <si>
    <t xml:space="preserve">PIR MUHAMMAD ROAD             </t>
  </si>
  <si>
    <t>0825400</t>
  </si>
  <si>
    <t xml:space="preserve">T.WELL SYEED ABAD             </t>
  </si>
  <si>
    <t>1053502</t>
  </si>
  <si>
    <t>XEN B-WASA WATER SUPPLY SCHEME</t>
  </si>
  <si>
    <t xml:space="preserve">KILLI SALEEMABAD              </t>
  </si>
  <si>
    <t>1177702</t>
  </si>
  <si>
    <t>BALOCHISTAN PROVINCIAL LIBARAR</t>
  </si>
  <si>
    <t xml:space="preserve">JINNAH ROAD                   </t>
  </si>
  <si>
    <t>0411003</t>
  </si>
  <si>
    <t>KILLI TAJ MUHAMMAD</t>
  </si>
  <si>
    <t>SARIAB QUETTA</t>
  </si>
  <si>
    <t>1229803</t>
  </si>
  <si>
    <t>MIR COLONY NEAR DEGRAI COLLAGE</t>
  </si>
  <si>
    <t>SARIAB ROAD QUETTA</t>
  </si>
  <si>
    <t>1825100</t>
  </si>
  <si>
    <t xml:space="preserve">DAWOOD SHAHWANI               </t>
  </si>
  <si>
    <t xml:space="preserve">KILLI MIAN GUNDI QUETTA       </t>
  </si>
  <si>
    <t>0028519</t>
  </si>
  <si>
    <t xml:space="preserve">MUSTONG ROAD QTA              </t>
  </si>
  <si>
    <t>0613801</t>
  </si>
  <si>
    <t>1237809</t>
  </si>
  <si>
    <t xml:space="preserve">CHASHMA ACHOZAI               </t>
  </si>
  <si>
    <t>1335706</t>
  </si>
  <si>
    <t>0955900</t>
  </si>
  <si>
    <t xml:space="preserve">QDA DY DIR MUNICIPAL FUNCTIN  </t>
  </si>
  <si>
    <t xml:space="preserve">BUS STAND HAZAR GUNJI         </t>
  </si>
  <si>
    <t xml:space="preserve">WASH ROOM NO  08 QUETTA       </t>
  </si>
  <si>
    <t>0956300</t>
  </si>
  <si>
    <t xml:space="preserve">WASH ROOM NO 4 BUS STAND      </t>
  </si>
  <si>
    <t>0956400</t>
  </si>
  <si>
    <t xml:space="preserve">BUS STAND H GNAJI             </t>
  </si>
  <si>
    <t xml:space="preserve">WASH ROOM NO 5 QTA            </t>
  </si>
  <si>
    <t>0956700</t>
  </si>
  <si>
    <t xml:space="preserve">WASH ROOM NO 7 BUS STAND      </t>
  </si>
  <si>
    <t>0956800</t>
  </si>
  <si>
    <t xml:space="preserve">Q D A DY DIRECTOR MUNCIPAL    </t>
  </si>
  <si>
    <t xml:space="preserve">BUS STAND H GANJI             </t>
  </si>
  <si>
    <t xml:space="preserve">MASA ROOM NO 1 QTA            </t>
  </si>
  <si>
    <t>0957000</t>
  </si>
  <si>
    <t xml:space="preserve">WASH ROOM NO 9 BUS STAND      </t>
  </si>
  <si>
    <t>0957100</t>
  </si>
  <si>
    <t xml:space="preserve">WASH ROOM NO 10 BUS STAND     </t>
  </si>
  <si>
    <t xml:space="preserve">H GANGI QTA                   </t>
  </si>
  <si>
    <t>0957300</t>
  </si>
  <si>
    <t xml:space="preserve">WASH ROOM NO 11 H GANJI       </t>
  </si>
  <si>
    <t xml:space="preserve">BUS STAND QTA                 </t>
  </si>
  <si>
    <t>0957700</t>
  </si>
  <si>
    <t xml:space="preserve">WASH ROOM NO 13 H GNAJI       </t>
  </si>
  <si>
    <t>0964400</t>
  </si>
  <si>
    <t xml:space="preserve">SIDE OFFICE                   </t>
  </si>
  <si>
    <t xml:space="preserve">BUS STAND HAZAR GHANJI        </t>
  </si>
  <si>
    <t>0996300</t>
  </si>
  <si>
    <t xml:space="preserve">PROJECT DIRECTOR WWS          </t>
  </si>
  <si>
    <t xml:space="preserve">WATER SUPPLAY SCHEEM RAHIMI   </t>
  </si>
  <si>
    <t xml:space="preserve">TOWN SIBI ROAD QTA            </t>
  </si>
  <si>
    <t>0701400</t>
  </si>
  <si>
    <t xml:space="preserve">DASHTH SPEZANT                </t>
  </si>
  <si>
    <t xml:space="preserve">SIBI ROAD QUETTA              </t>
  </si>
  <si>
    <t>0875600</t>
  </si>
  <si>
    <t>1006000</t>
  </si>
  <si>
    <t>PROJECT DIRECTOR</t>
  </si>
  <si>
    <t>WATER SUPPLY TUBE WELLS</t>
  </si>
  <si>
    <t>DASHT</t>
  </si>
  <si>
    <t>0028751</t>
  </si>
  <si>
    <t xml:space="preserve">SCHEEM QUETTA                 </t>
  </si>
  <si>
    <t>0028752</t>
  </si>
  <si>
    <t xml:space="preserve">XEN QDA                       </t>
  </si>
  <si>
    <t>0028753</t>
  </si>
  <si>
    <t xml:space="preserve">QDA RASKHANI                  </t>
  </si>
  <si>
    <t xml:space="preserve">H SCHEEM QTA                  </t>
  </si>
  <si>
    <t>0028757</t>
  </si>
  <si>
    <t xml:space="preserve">Q.D.A T-WELL                  </t>
  </si>
  <si>
    <t xml:space="preserve">SIBI ROAD                     </t>
  </si>
  <si>
    <t>0028768</t>
  </si>
  <si>
    <t xml:space="preserve">QDA DY DIR MUNCIPAL           </t>
  </si>
  <si>
    <t xml:space="preserve">WASH NO 2 QTA                 </t>
  </si>
  <si>
    <t>0028769</t>
  </si>
  <si>
    <t xml:space="preserve">QDA DY DIR MUNCIPAL FUNCTON   </t>
  </si>
  <si>
    <t xml:space="preserve">BUS STAND WASH ROOM NO 3      </t>
  </si>
  <si>
    <t>1823400</t>
  </si>
  <si>
    <t>1588505</t>
  </si>
  <si>
    <t xml:space="preserve">EXECUITIVE ENGINEER           </t>
  </si>
  <si>
    <t xml:space="preserve">2406 </t>
  </si>
  <si>
    <t>1059901</t>
  </si>
  <si>
    <t>SIRKI KALAN</t>
  </si>
  <si>
    <t>0719402</t>
  </si>
  <si>
    <t xml:space="preserve">PAK GIRLS SCHOOL JOGEZAI      </t>
  </si>
  <si>
    <t xml:space="preserve">STREET QUETTA                 </t>
  </si>
  <si>
    <t>0093201</t>
  </si>
  <si>
    <t>MASJID RASOOL</t>
  </si>
  <si>
    <t>GUOSE ABAD QUETTA</t>
  </si>
  <si>
    <t>0325401</t>
  </si>
  <si>
    <t>BLOCK NO.3 SATELLITE TOWN</t>
  </si>
  <si>
    <t>0855301</t>
  </si>
  <si>
    <t>BLOCK NO.4 SATELLITE TOWN</t>
  </si>
  <si>
    <t>1144301</t>
  </si>
  <si>
    <t xml:space="preserve">AMIN VILLAS NEAR SARDAR KAMAL </t>
  </si>
  <si>
    <t xml:space="preserve">KHAN HOUSE QTA                </t>
  </si>
  <si>
    <t>1521901</t>
  </si>
  <si>
    <t>SHAH ZAMAN ROAD</t>
  </si>
  <si>
    <t>0212104</t>
  </si>
  <si>
    <t>FAISAL STREET REHMAT COLONY</t>
  </si>
  <si>
    <t>0249801</t>
  </si>
  <si>
    <t>WEX WASA</t>
  </si>
  <si>
    <t xml:space="preserve">ISMAIL COLONY RAMZAN STREET   </t>
  </si>
  <si>
    <t>0306302</t>
  </si>
  <si>
    <t>ISMAIL COLONY KILLI HAJI KHAN</t>
  </si>
  <si>
    <t>0367301</t>
  </si>
  <si>
    <t>PASHTOON DARA MUHAMMAD KHAIR R</t>
  </si>
  <si>
    <t>0880601</t>
  </si>
  <si>
    <t xml:space="preserve">DR.NAJEEB SHAHEED STREET      </t>
  </si>
  <si>
    <t>0914565</t>
  </si>
  <si>
    <t>AFGHAN DARA</t>
  </si>
  <si>
    <t>AFGHAN MINA QUETTA</t>
  </si>
  <si>
    <t>1124901</t>
  </si>
  <si>
    <t xml:space="preserve">KHUSHAL ROAD ACHAKZAI COLONY  </t>
  </si>
  <si>
    <t xml:space="preserve">P-ABAD QUETTA                 </t>
  </si>
  <si>
    <t>1135801</t>
  </si>
  <si>
    <t>KHUSHAL ROAD STREET NO-04</t>
  </si>
  <si>
    <t>1179601</t>
  </si>
  <si>
    <t xml:space="preserve">KHAN SHAHEED SCHOOL ACHKAZI   </t>
  </si>
  <si>
    <t xml:space="preserve">COLONY QUETTA                 </t>
  </si>
  <si>
    <t>1377601</t>
  </si>
  <si>
    <t xml:space="preserve">GOL MASJID S.TOWN             </t>
  </si>
  <si>
    <t>0429701</t>
  </si>
  <si>
    <t xml:space="preserve">WSS NADIR ABAD ALAMDAR ROAD   </t>
  </si>
  <si>
    <t>1416401</t>
  </si>
  <si>
    <t xml:space="preserve">WSS GIRLS HIGH SCHOOL HAJI    </t>
  </si>
  <si>
    <t xml:space="preserve">GHAIBI RD QUETTA              </t>
  </si>
  <si>
    <t>2033003</t>
  </si>
  <si>
    <t xml:space="preserve">WSS KILLI MULLA KHAIL NAWA    </t>
  </si>
  <si>
    <t xml:space="preserve">KILLI QUETTA                  </t>
  </si>
  <si>
    <t>0594801</t>
  </si>
  <si>
    <t xml:space="preserve">WSS SARDAR YASIN LANGO STREET </t>
  </si>
  <si>
    <t xml:space="preserve">KILLI ISMAIL QTA              </t>
  </si>
  <si>
    <t>0661905</t>
  </si>
  <si>
    <t xml:space="preserve">WSS MOLVI IDREES STREET       </t>
  </si>
  <si>
    <t>0319602</t>
  </si>
  <si>
    <t xml:space="preserve">WSS MANO JAN ROAD             </t>
  </si>
  <si>
    <t>0494501</t>
  </si>
  <si>
    <t>ZARGHOON ABAD P-II NAWA KILLI</t>
  </si>
  <si>
    <t>0554801</t>
  </si>
  <si>
    <t>W S S YOUHANA ABAD</t>
  </si>
  <si>
    <t>NAWA KILLI QTA</t>
  </si>
  <si>
    <t>1934601</t>
  </si>
  <si>
    <t>TEACHER COLONY NO 2 NAWA KILLI</t>
  </si>
  <si>
    <t>1380501</t>
  </si>
  <si>
    <t xml:space="preserve">SCHEME KILLI IDREES SHAHWANI  </t>
  </si>
  <si>
    <t xml:space="preserve">KACHI BAIG QUETTA             </t>
  </si>
  <si>
    <t>0642401</t>
  </si>
  <si>
    <t xml:space="preserve">WATER SUPPLY SARIAB MILL      </t>
  </si>
  <si>
    <t>0292301</t>
  </si>
  <si>
    <t xml:space="preserve">KILLI ABDUL REHMAN BANGULZAI  </t>
  </si>
  <si>
    <t>0569601</t>
  </si>
  <si>
    <t xml:space="preserve">GOVT:GIRLS HIGH SCHOOL        </t>
  </si>
  <si>
    <t xml:space="preserve">KILLI GEO KIRANI QTA          </t>
  </si>
  <si>
    <t>0788801</t>
  </si>
  <si>
    <t xml:space="preserve">ALAMO CHOWK                   </t>
  </si>
  <si>
    <t>0859301</t>
  </si>
  <si>
    <t xml:space="preserve">PHE KILLI SHABO QUETTA        </t>
  </si>
  <si>
    <t>1024502</t>
  </si>
  <si>
    <t xml:space="preserve">JANNAH TOWN QUETTA            </t>
  </si>
  <si>
    <t>0468901</t>
  </si>
  <si>
    <t>WATER SUPPLY KILLI MUBARAK</t>
  </si>
  <si>
    <t>FORNTIER COLONY SPINI ROAD QTA</t>
  </si>
  <si>
    <t>0722101</t>
  </si>
  <si>
    <t xml:space="preserve">WATER SUPPLY SCHEME KILLI     </t>
  </si>
  <si>
    <t xml:space="preserve">SARFARAZ QAMBRANI QUETTA      </t>
  </si>
  <si>
    <t>1118801</t>
  </si>
  <si>
    <t xml:space="preserve">QILLA M.HASSANI BROWERY R.QTA </t>
  </si>
  <si>
    <t>1246401</t>
  </si>
  <si>
    <t xml:space="preserve">MUHAMMAD SHAH PANIZAI         </t>
  </si>
  <si>
    <t>0182502</t>
  </si>
  <si>
    <t>LOWER KAREZ-I</t>
  </si>
  <si>
    <t>1805801</t>
  </si>
  <si>
    <t xml:space="preserve">ABDUL KHALIQ                  </t>
  </si>
  <si>
    <t xml:space="preserve">GREEN HOUSING SCHEME          </t>
  </si>
  <si>
    <t>0358800</t>
  </si>
  <si>
    <t xml:space="preserve">TUBE WELL AZRGHOON ABAD NAWAN </t>
  </si>
  <si>
    <t xml:space="preserve">KILLI QTA                     </t>
  </si>
  <si>
    <t>1057506</t>
  </si>
  <si>
    <t>VIP[ BANGLOWS</t>
  </si>
  <si>
    <t>KILLI SHABO QTA</t>
  </si>
  <si>
    <t>1587120</t>
  </si>
  <si>
    <t>PAK CHINA FRIEND SHIP</t>
  </si>
  <si>
    <t>0332002</t>
  </si>
  <si>
    <t>RAILWAY COLONY MAIN NEAR MIR</t>
  </si>
  <si>
    <t>HOTEL JOINT ROAD QUETTA</t>
  </si>
  <si>
    <t>0071701</t>
  </si>
  <si>
    <t>KILLI ALLAH ABAD</t>
  </si>
  <si>
    <t>ESSA NAGRI QUETA</t>
  </si>
  <si>
    <t>1192801</t>
  </si>
  <si>
    <t>WATER SUPPLY</t>
  </si>
  <si>
    <t>SAMANGLI HOUSING</t>
  </si>
  <si>
    <t>0672701</t>
  </si>
  <si>
    <t>ZARGHOON ROAD QUETTA</t>
  </si>
  <si>
    <t>0862201</t>
  </si>
  <si>
    <t>LADY SANDEMAN GIRL HIGH SCHOOL</t>
  </si>
  <si>
    <t>MULTANI MOHALLA QUETTA</t>
  </si>
  <si>
    <t>1436401</t>
  </si>
  <si>
    <t>MD / XEN WASA</t>
  </si>
  <si>
    <t>AKBER STREET</t>
  </si>
  <si>
    <t>KILLI SHEIKHAN QUETTA</t>
  </si>
  <si>
    <t>MD  WASA</t>
  </si>
  <si>
    <t>0884507</t>
  </si>
  <si>
    <t>BAQI CHOWK</t>
  </si>
  <si>
    <t>0897004</t>
  </si>
  <si>
    <t>KILLI SHABOO QUETTA</t>
  </si>
  <si>
    <t>NEAR GRAVE YARD</t>
  </si>
  <si>
    <t>0897005</t>
  </si>
  <si>
    <t>KILLI SHABOO QTA</t>
  </si>
  <si>
    <t>NEAR UMER HOUSE</t>
  </si>
  <si>
    <t>1694001</t>
  </si>
  <si>
    <t>TUBE WELL</t>
  </si>
  <si>
    <t>QUARRY ROAD</t>
  </si>
  <si>
    <t>0648701</t>
  </si>
  <si>
    <t>GHARIB ABAD BURMA HOTEL</t>
  </si>
  <si>
    <t>0452222</t>
  </si>
  <si>
    <t>IMRAN TOWN KILLI ARBABAN</t>
  </si>
  <si>
    <t>0005102</t>
  </si>
  <si>
    <t>PROJECT DIRECTOR QWSEIP WASA</t>
  </si>
  <si>
    <t>CHAMAN HOUSING SCHEME</t>
  </si>
  <si>
    <t>0226204</t>
  </si>
  <si>
    <t>RAILWAY COLONY MAIN CHOWK NEAR</t>
  </si>
  <si>
    <t>MASJID QTA</t>
  </si>
  <si>
    <t>1703001</t>
  </si>
  <si>
    <t>GULSHAN E BARECH</t>
  </si>
  <si>
    <t>3025201</t>
  </si>
  <si>
    <t>ISHAQ ABAD</t>
  </si>
  <si>
    <t>NEAR JATTAK STOP QUETTA</t>
  </si>
  <si>
    <t>2256205</t>
  </si>
  <si>
    <t>WSS KACH MORH</t>
  </si>
  <si>
    <t>2256206</t>
  </si>
  <si>
    <t>WSS KACH MORH T/WELL1</t>
  </si>
  <si>
    <t>0079902</t>
  </si>
  <si>
    <t>AT JUMA KHAN  QTA</t>
  </si>
  <si>
    <t>0251901</t>
  </si>
  <si>
    <t>KHAN SHAHEED</t>
  </si>
  <si>
    <t>S.TOWN</t>
  </si>
  <si>
    <t>1587101</t>
  </si>
  <si>
    <t>P.D WATERS</t>
  </si>
  <si>
    <t>PARK-1</t>
  </si>
  <si>
    <t>07616</t>
  </si>
  <si>
    <t>1587102</t>
  </si>
  <si>
    <t>P.D WATER CITY</t>
  </si>
  <si>
    <t>GDA BAZAR</t>
  </si>
  <si>
    <t>1587103</t>
  </si>
  <si>
    <t>P.D WATER</t>
  </si>
  <si>
    <t>GDA</t>
  </si>
  <si>
    <t>GAWDAR</t>
  </si>
  <si>
    <t>1587104</t>
  </si>
  <si>
    <t>1587105</t>
  </si>
  <si>
    <t>1587106</t>
  </si>
  <si>
    <t>GAWADR</t>
  </si>
  <si>
    <t>1587107</t>
  </si>
  <si>
    <t>P.D WATER GDA</t>
  </si>
  <si>
    <t>1274401</t>
  </si>
  <si>
    <t>GREEN TOWN QUETTA</t>
  </si>
  <si>
    <t>0268501</t>
  </si>
  <si>
    <t>N-AFGHAN ROAD QUETTA</t>
  </si>
  <si>
    <t>1362801</t>
  </si>
  <si>
    <t>KACHI BAIG MUSLIM ABAD</t>
  </si>
  <si>
    <t>SARAIB QUETTA</t>
  </si>
  <si>
    <t>1009801</t>
  </si>
  <si>
    <t xml:space="preserve">KILLI BADAL KHAN              </t>
  </si>
  <si>
    <t xml:space="preserve">ZAREEF DURRANI STREET QUETTA  </t>
  </si>
  <si>
    <t>1146102</t>
  </si>
  <si>
    <t>SHAH ZAMAN TOWN</t>
  </si>
  <si>
    <t>RAISANI ROAD QUETTA</t>
  </si>
  <si>
    <t>0710714</t>
  </si>
  <si>
    <t>KILLI FEROZ ABAD</t>
  </si>
  <si>
    <t xml:space="preserve">DIRECTOR WASA  QDA           </t>
  </si>
  <si>
    <t>0016001</t>
  </si>
  <si>
    <t>WSS MUSA COLONY SARIAB QTA</t>
  </si>
  <si>
    <t>0024803</t>
  </si>
  <si>
    <t>KILLI ALAMGIR MENAL</t>
  </si>
  <si>
    <t>MUSA COLONY QTA</t>
  </si>
  <si>
    <t>0054708</t>
  </si>
  <si>
    <t>KILLI MUHAMMAD SHAHI</t>
  </si>
  <si>
    <t>1248302</t>
  </si>
  <si>
    <t>BALOCHISTAN ( DEV ) AUTHORITY</t>
  </si>
  <si>
    <t>1335710</t>
  </si>
  <si>
    <t>KILLI ABDULLAH SABZAL</t>
  </si>
  <si>
    <t>0243301</t>
  </si>
  <si>
    <t>NEAR SARDAR ASIM HOUSE</t>
  </si>
  <si>
    <t>SATELLITE TOWN QUETTA</t>
  </si>
</sst>
</file>

<file path=xl/styles.xml><?xml version="1.0" encoding="utf-8"?>
<styleSheet xmlns="http://schemas.openxmlformats.org/spreadsheetml/2006/main">
  <numFmts count="1">
    <numFmt numFmtId="164" formatCode="m/d/yyyy"/>
  </numFmts>
  <fonts count="3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name val="Dialog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" fontId="1" fillId="3" borderId="1" xfId="0" applyNumberFormat="1" applyFon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641"/>
  <sheetViews>
    <sheetView tabSelected="1" topLeftCell="H1" workbookViewId="0">
      <selection activeCell="Y1" sqref="A1:Y1048576"/>
    </sheetView>
  </sheetViews>
  <sheetFormatPr defaultRowHeight="15"/>
  <cols>
    <col min="1" max="1" width="10.85546875" customWidth="1"/>
    <col min="5" max="8" width="9.140625" customWidth="1"/>
    <col min="9" max="9" width="9.28515625" customWidth="1"/>
    <col min="10" max="11" width="11.28515625" customWidth="1"/>
    <col min="12" max="13" width="9.28515625" customWidth="1"/>
    <col min="14" max="14" width="10.140625" customWidth="1"/>
    <col min="15" max="15" width="11.28515625" customWidth="1"/>
    <col min="16" max="16" width="9.140625" customWidth="1"/>
    <col min="19" max="19" width="9.140625" customWidth="1"/>
    <col min="20" max="24" width="9.28515625" bestFit="1" customWidth="1"/>
  </cols>
  <sheetData>
    <row r="1" spans="1:2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4" t="s">
        <v>1391</v>
      </c>
      <c r="T1" s="2" t="s">
        <v>1392</v>
      </c>
      <c r="U1" s="2" t="s">
        <v>1393</v>
      </c>
      <c r="V1" s="2" t="s">
        <v>26</v>
      </c>
      <c r="W1" s="2" t="s">
        <v>1394</v>
      </c>
      <c r="X1" s="7" t="s">
        <v>1395</v>
      </c>
    </row>
    <row r="2" spans="1:24">
      <c r="A2" s="9">
        <v>46054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6">
        <v>15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2" t="s">
        <v>25</v>
      </c>
      <c r="Q2" s="2" t="s">
        <v>26</v>
      </c>
      <c r="R2" s="2" t="s">
        <v>27</v>
      </c>
      <c r="S2" s="5">
        <v>0</v>
      </c>
      <c r="T2" s="1">
        <v>0</v>
      </c>
      <c r="U2" s="2">
        <f>T2+S2</f>
        <v>0</v>
      </c>
      <c r="V2" s="1">
        <v>1</v>
      </c>
      <c r="W2" s="2">
        <f>V2+U2</f>
        <v>1</v>
      </c>
      <c r="X2" s="8" t="e">
        <f t="shared" ref="X2" si="0">100/U2*S2</f>
        <v>#DIV/0!</v>
      </c>
    </row>
    <row r="3" spans="1:24">
      <c r="A3" s="9">
        <v>46054</v>
      </c>
      <c r="B3" s="2" t="s">
        <v>18</v>
      </c>
      <c r="C3" s="2" t="s">
        <v>19</v>
      </c>
      <c r="D3" s="2" t="s">
        <v>28</v>
      </c>
      <c r="E3" s="2" t="s">
        <v>29</v>
      </c>
      <c r="F3" s="2" t="s">
        <v>30</v>
      </c>
      <c r="G3" s="2"/>
      <c r="H3" s="2" t="s">
        <v>24</v>
      </c>
      <c r="I3" s="6">
        <v>8</v>
      </c>
      <c r="J3" s="6">
        <v>31347</v>
      </c>
      <c r="K3" s="6">
        <v>12511</v>
      </c>
      <c r="L3" s="6">
        <v>31568</v>
      </c>
      <c r="M3" s="6">
        <v>0</v>
      </c>
      <c r="N3" s="6">
        <v>442</v>
      </c>
      <c r="O3" s="6">
        <v>12732</v>
      </c>
      <c r="P3" s="2" t="s">
        <v>31</v>
      </c>
      <c r="Q3" s="2" t="s">
        <v>32</v>
      </c>
      <c r="R3" s="2" t="s">
        <v>33</v>
      </c>
      <c r="S3" s="5">
        <v>0</v>
      </c>
      <c r="T3" s="1">
        <v>1</v>
      </c>
      <c r="U3" s="2">
        <f>T3+S3</f>
        <v>1</v>
      </c>
      <c r="V3" s="1">
        <v>0</v>
      </c>
      <c r="W3" s="2">
        <f>V3+U3</f>
        <v>1</v>
      </c>
      <c r="X3" s="8">
        <f t="shared" ref="X3:X66" si="1">100/U3*S3</f>
        <v>0</v>
      </c>
    </row>
    <row r="4" spans="1:24">
      <c r="A4" s="9">
        <v>46054</v>
      </c>
      <c r="B4" s="2" t="s">
        <v>18</v>
      </c>
      <c r="C4" s="2" t="s">
        <v>19</v>
      </c>
      <c r="D4" s="2" t="s">
        <v>34</v>
      </c>
      <c r="E4" s="2" t="s">
        <v>35</v>
      </c>
      <c r="F4" s="2" t="s">
        <v>36</v>
      </c>
      <c r="G4" s="2" t="s">
        <v>23</v>
      </c>
      <c r="H4" s="2" t="s">
        <v>24</v>
      </c>
      <c r="I4" s="6">
        <v>2</v>
      </c>
      <c r="J4" s="6">
        <v>178441</v>
      </c>
      <c r="K4" s="6">
        <v>4024</v>
      </c>
      <c r="L4" s="6">
        <v>0</v>
      </c>
      <c r="M4" s="6">
        <v>0</v>
      </c>
      <c r="N4" s="6">
        <v>464</v>
      </c>
      <c r="O4" s="6">
        <v>182929</v>
      </c>
      <c r="P4" s="2" t="s">
        <v>25</v>
      </c>
      <c r="Q4" s="2" t="s">
        <v>32</v>
      </c>
      <c r="R4" s="2" t="s">
        <v>27</v>
      </c>
      <c r="S4" s="5">
        <v>0</v>
      </c>
      <c r="T4" s="1">
        <v>1</v>
      </c>
      <c r="U4" s="2">
        <f t="shared" ref="U4:U6" si="2">T4+S4</f>
        <v>1</v>
      </c>
      <c r="V4" s="1">
        <v>0</v>
      </c>
      <c r="W4" s="2">
        <f t="shared" ref="W4:W6" si="3">V4+U4</f>
        <v>1</v>
      </c>
      <c r="X4" s="8">
        <f t="shared" si="1"/>
        <v>0</v>
      </c>
    </row>
    <row r="5" spans="1:24">
      <c r="A5" s="9">
        <v>46054</v>
      </c>
      <c r="B5" s="2" t="s">
        <v>18</v>
      </c>
      <c r="C5" s="2" t="s">
        <v>19</v>
      </c>
      <c r="D5" s="2" t="s">
        <v>37</v>
      </c>
      <c r="E5" s="2" t="s">
        <v>38</v>
      </c>
      <c r="F5" s="2" t="s">
        <v>39</v>
      </c>
      <c r="G5" s="2" t="s">
        <v>23</v>
      </c>
      <c r="H5" s="2" t="s">
        <v>24</v>
      </c>
      <c r="I5" s="6">
        <v>5</v>
      </c>
      <c r="J5" s="6">
        <v>45952</v>
      </c>
      <c r="K5" s="6">
        <v>35181</v>
      </c>
      <c r="L5" s="6">
        <v>45663</v>
      </c>
      <c r="M5" s="6">
        <v>0</v>
      </c>
      <c r="N5" s="6">
        <v>0</v>
      </c>
      <c r="O5" s="6">
        <v>35470</v>
      </c>
      <c r="P5" s="2" t="s">
        <v>40</v>
      </c>
      <c r="Q5" s="2" t="s">
        <v>32</v>
      </c>
      <c r="R5" s="2" t="s">
        <v>41</v>
      </c>
      <c r="S5" s="5">
        <v>0</v>
      </c>
      <c r="T5" s="1">
        <v>1</v>
      </c>
      <c r="U5" s="2">
        <f t="shared" si="2"/>
        <v>1</v>
      </c>
      <c r="V5" s="1">
        <v>0</v>
      </c>
      <c r="W5" s="2">
        <f t="shared" si="3"/>
        <v>1</v>
      </c>
      <c r="X5" s="8">
        <f t="shared" si="1"/>
        <v>0</v>
      </c>
    </row>
    <row r="6" spans="1:24">
      <c r="A6" s="9">
        <v>46054</v>
      </c>
      <c r="B6" s="2" t="s">
        <v>18</v>
      </c>
      <c r="C6" s="2" t="s">
        <v>19</v>
      </c>
      <c r="D6" s="2" t="s">
        <v>1403</v>
      </c>
      <c r="E6" s="2" t="s">
        <v>1404</v>
      </c>
      <c r="F6" s="2" t="s">
        <v>36</v>
      </c>
      <c r="G6" s="2"/>
      <c r="H6" s="2" t="s">
        <v>24</v>
      </c>
      <c r="I6" s="6">
        <v>1</v>
      </c>
      <c r="J6" s="6">
        <v>99391</v>
      </c>
      <c r="K6" s="6">
        <v>101162</v>
      </c>
      <c r="L6" s="6">
        <v>97079</v>
      </c>
      <c r="M6" s="6">
        <v>0</v>
      </c>
      <c r="N6" s="6">
        <v>0</v>
      </c>
      <c r="O6" s="6">
        <v>103474</v>
      </c>
      <c r="P6" s="2" t="s">
        <v>40</v>
      </c>
      <c r="Q6" s="2" t="s">
        <v>32</v>
      </c>
      <c r="R6" s="2" t="s">
        <v>27</v>
      </c>
      <c r="S6" s="5">
        <v>0</v>
      </c>
      <c r="T6" s="1">
        <v>1</v>
      </c>
      <c r="U6" s="2">
        <f t="shared" si="2"/>
        <v>1</v>
      </c>
      <c r="V6" s="1">
        <v>0</v>
      </c>
      <c r="W6" s="2">
        <f t="shared" si="3"/>
        <v>1</v>
      </c>
      <c r="X6" s="8">
        <f t="shared" si="1"/>
        <v>0</v>
      </c>
    </row>
    <row r="7" spans="1:24" ht="15" customHeight="1">
      <c r="A7" s="9">
        <v>46054</v>
      </c>
      <c r="B7" s="2" t="s">
        <v>18</v>
      </c>
      <c r="C7" s="2" t="s">
        <v>19</v>
      </c>
      <c r="D7" s="2" t="s">
        <v>42</v>
      </c>
      <c r="E7" s="2" t="s">
        <v>43</v>
      </c>
      <c r="F7" s="2" t="s">
        <v>44</v>
      </c>
      <c r="G7" s="2"/>
      <c r="H7" s="2" t="s">
        <v>24</v>
      </c>
      <c r="I7" s="6">
        <v>10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2" t="s">
        <v>40</v>
      </c>
      <c r="Q7" s="2" t="s">
        <v>26</v>
      </c>
      <c r="R7" s="2" t="s">
        <v>27</v>
      </c>
      <c r="S7" s="5">
        <v>0</v>
      </c>
      <c r="T7" s="1">
        <v>0</v>
      </c>
      <c r="U7" s="2">
        <f>T7+S7</f>
        <v>0</v>
      </c>
      <c r="V7" s="1">
        <v>1</v>
      </c>
      <c r="W7" s="2">
        <f>V7+U7</f>
        <v>1</v>
      </c>
      <c r="X7" s="8" t="e">
        <f t="shared" si="1"/>
        <v>#DIV/0!</v>
      </c>
    </row>
    <row r="8" spans="1:24">
      <c r="A8" s="9">
        <v>46054</v>
      </c>
      <c r="B8" s="2" t="s">
        <v>18</v>
      </c>
      <c r="C8" s="2" t="s">
        <v>19</v>
      </c>
      <c r="D8" s="2" t="s">
        <v>1672</v>
      </c>
      <c r="E8" s="2" t="s">
        <v>1673</v>
      </c>
      <c r="F8" s="2" t="s">
        <v>1674</v>
      </c>
      <c r="G8" s="2" t="s">
        <v>49</v>
      </c>
      <c r="H8" s="2" t="s">
        <v>24</v>
      </c>
      <c r="I8" s="6">
        <v>4.46</v>
      </c>
      <c r="J8" s="6">
        <v>107439</v>
      </c>
      <c r="K8" s="6">
        <v>91950</v>
      </c>
      <c r="L8" s="6">
        <v>0</v>
      </c>
      <c r="M8" s="6">
        <v>0</v>
      </c>
      <c r="N8" s="6">
        <v>9254</v>
      </c>
      <c r="O8" s="6">
        <v>208643</v>
      </c>
      <c r="P8" s="2" t="s">
        <v>40</v>
      </c>
      <c r="Q8" s="2" t="s">
        <v>32</v>
      </c>
      <c r="R8" s="2" t="s">
        <v>50</v>
      </c>
      <c r="S8" s="5">
        <v>0</v>
      </c>
      <c r="T8" s="1">
        <v>1</v>
      </c>
      <c r="U8" s="2">
        <f t="shared" ref="U8:U24" si="4">T8+S8</f>
        <v>1</v>
      </c>
      <c r="V8" s="1">
        <v>0</v>
      </c>
      <c r="W8" s="2">
        <f t="shared" ref="W8:W24" si="5">V8+U8</f>
        <v>1</v>
      </c>
      <c r="X8" s="8">
        <f t="shared" si="1"/>
        <v>0</v>
      </c>
    </row>
    <row r="9" spans="1:24">
      <c r="A9" s="9">
        <v>46054</v>
      </c>
      <c r="B9" s="2" t="s">
        <v>45</v>
      </c>
      <c r="C9" s="2" t="s">
        <v>19</v>
      </c>
      <c r="D9" s="2" t="s">
        <v>46</v>
      </c>
      <c r="E9" s="2" t="s">
        <v>47</v>
      </c>
      <c r="F9" s="2" t="s">
        <v>48</v>
      </c>
      <c r="G9" s="2" t="s">
        <v>49</v>
      </c>
      <c r="H9" s="2" t="s">
        <v>24</v>
      </c>
      <c r="I9" s="6">
        <v>29.84</v>
      </c>
      <c r="J9" s="6">
        <v>8899</v>
      </c>
      <c r="K9" s="6">
        <v>332089</v>
      </c>
      <c r="L9" s="6">
        <v>340988</v>
      </c>
      <c r="M9" s="6">
        <v>0</v>
      </c>
      <c r="N9" s="6">
        <v>0</v>
      </c>
      <c r="O9" s="6">
        <v>0</v>
      </c>
      <c r="P9" s="2" t="s">
        <v>25</v>
      </c>
      <c r="Q9" s="2" t="s">
        <v>32</v>
      </c>
      <c r="R9" s="2" t="s">
        <v>50</v>
      </c>
      <c r="S9" s="5">
        <v>1</v>
      </c>
      <c r="T9" s="1">
        <v>0</v>
      </c>
      <c r="U9" s="2">
        <f t="shared" si="4"/>
        <v>1</v>
      </c>
      <c r="V9" s="1">
        <v>0</v>
      </c>
      <c r="W9" s="2">
        <f t="shared" si="5"/>
        <v>1</v>
      </c>
      <c r="X9" s="8">
        <f t="shared" si="1"/>
        <v>100</v>
      </c>
    </row>
    <row r="10" spans="1:24">
      <c r="A10" s="9">
        <v>46054</v>
      </c>
      <c r="B10" s="2" t="s">
        <v>45</v>
      </c>
      <c r="C10" s="2" t="s">
        <v>19</v>
      </c>
      <c r="D10" s="2" t="s">
        <v>51</v>
      </c>
      <c r="E10" s="2" t="s">
        <v>21</v>
      </c>
      <c r="F10" s="2" t="s">
        <v>52</v>
      </c>
      <c r="G10" s="2" t="s">
        <v>23</v>
      </c>
      <c r="H10" s="2" t="s">
        <v>24</v>
      </c>
      <c r="I10" s="6">
        <v>41</v>
      </c>
      <c r="J10" s="6">
        <v>50</v>
      </c>
      <c r="K10" s="6">
        <v>1180</v>
      </c>
      <c r="L10" s="6">
        <v>1230</v>
      </c>
      <c r="M10" s="6">
        <v>0</v>
      </c>
      <c r="N10" s="6">
        <v>0</v>
      </c>
      <c r="O10" s="6">
        <v>0</v>
      </c>
      <c r="P10" s="2" t="s">
        <v>25</v>
      </c>
      <c r="Q10" s="2" t="s">
        <v>32</v>
      </c>
      <c r="R10" s="2" t="s">
        <v>27</v>
      </c>
      <c r="S10" s="5">
        <v>0</v>
      </c>
      <c r="T10" s="1">
        <v>1</v>
      </c>
      <c r="U10" s="2">
        <f t="shared" si="4"/>
        <v>1</v>
      </c>
      <c r="V10" s="1">
        <v>0</v>
      </c>
      <c r="W10" s="2">
        <f t="shared" si="5"/>
        <v>1</v>
      </c>
      <c r="X10" s="8">
        <f t="shared" si="1"/>
        <v>0</v>
      </c>
    </row>
    <row r="11" spans="1:24">
      <c r="A11" s="9">
        <v>46054</v>
      </c>
      <c r="B11" s="2" t="s">
        <v>45</v>
      </c>
      <c r="C11" s="2" t="s">
        <v>19</v>
      </c>
      <c r="D11" s="2" t="s">
        <v>53</v>
      </c>
      <c r="E11" s="2" t="s">
        <v>54</v>
      </c>
      <c r="F11" s="2" t="s">
        <v>55</v>
      </c>
      <c r="G11" s="2" t="s">
        <v>30</v>
      </c>
      <c r="H11" s="2" t="s">
        <v>24</v>
      </c>
      <c r="I11" s="6">
        <v>42</v>
      </c>
      <c r="J11" s="6">
        <v>12481</v>
      </c>
      <c r="K11" s="6">
        <v>115264</v>
      </c>
      <c r="L11" s="6">
        <v>127745</v>
      </c>
      <c r="M11" s="6">
        <v>0</v>
      </c>
      <c r="N11" s="6">
        <v>0</v>
      </c>
      <c r="O11" s="6">
        <v>0</v>
      </c>
      <c r="P11" s="2" t="s">
        <v>25</v>
      </c>
      <c r="Q11" s="2" t="s">
        <v>32</v>
      </c>
      <c r="R11" s="2" t="s">
        <v>50</v>
      </c>
      <c r="S11" s="5">
        <v>1</v>
      </c>
      <c r="T11" s="1">
        <v>0</v>
      </c>
      <c r="U11" s="2">
        <f t="shared" si="4"/>
        <v>1</v>
      </c>
      <c r="V11" s="1">
        <v>0</v>
      </c>
      <c r="W11" s="2">
        <f t="shared" si="5"/>
        <v>1</v>
      </c>
      <c r="X11" s="8">
        <f t="shared" si="1"/>
        <v>100</v>
      </c>
    </row>
    <row r="12" spans="1:24">
      <c r="A12" s="9">
        <v>46054</v>
      </c>
      <c r="B12" s="2" t="s">
        <v>45</v>
      </c>
      <c r="C12" s="2" t="s">
        <v>19</v>
      </c>
      <c r="D12" s="2" t="s">
        <v>56</v>
      </c>
      <c r="E12" s="2" t="s">
        <v>57</v>
      </c>
      <c r="F12" s="2" t="s">
        <v>58</v>
      </c>
      <c r="G12" s="2" t="s">
        <v>23</v>
      </c>
      <c r="H12" s="2" t="s">
        <v>24</v>
      </c>
      <c r="I12" s="6">
        <v>29.84</v>
      </c>
      <c r="J12" s="6">
        <v>59</v>
      </c>
      <c r="K12" s="6">
        <v>1180</v>
      </c>
      <c r="L12" s="6">
        <v>1230</v>
      </c>
      <c r="M12" s="6">
        <v>0</v>
      </c>
      <c r="N12" s="6">
        <v>0</v>
      </c>
      <c r="O12" s="6">
        <v>9</v>
      </c>
      <c r="P12" s="2" t="s">
        <v>25</v>
      </c>
      <c r="Q12" s="2" t="s">
        <v>32</v>
      </c>
      <c r="R12" s="2" t="s">
        <v>27</v>
      </c>
      <c r="S12" s="5">
        <v>0</v>
      </c>
      <c r="T12" s="1">
        <v>1</v>
      </c>
      <c r="U12" s="2">
        <f t="shared" si="4"/>
        <v>1</v>
      </c>
      <c r="V12" s="1">
        <v>0</v>
      </c>
      <c r="W12" s="2">
        <f t="shared" si="5"/>
        <v>1</v>
      </c>
      <c r="X12" s="8">
        <f t="shared" si="1"/>
        <v>0</v>
      </c>
    </row>
    <row r="13" spans="1:24">
      <c r="A13" s="9">
        <v>46054</v>
      </c>
      <c r="B13" s="2" t="s">
        <v>45</v>
      </c>
      <c r="C13" s="2" t="s">
        <v>19</v>
      </c>
      <c r="D13" s="2" t="s">
        <v>1543</v>
      </c>
      <c r="E13" s="2" t="s">
        <v>1402</v>
      </c>
      <c r="F13" s="2" t="s">
        <v>1544</v>
      </c>
      <c r="G13" s="2" t="s">
        <v>49</v>
      </c>
      <c r="H13" s="2" t="s">
        <v>24</v>
      </c>
      <c r="I13" s="6">
        <v>29.84</v>
      </c>
      <c r="J13" s="6">
        <v>751936</v>
      </c>
      <c r="K13" s="6">
        <v>74117</v>
      </c>
      <c r="L13" s="6">
        <v>85000</v>
      </c>
      <c r="M13" s="6">
        <v>0</v>
      </c>
      <c r="N13" s="6">
        <v>8868</v>
      </c>
      <c r="O13" s="6">
        <v>749921</v>
      </c>
      <c r="P13" s="2" t="s">
        <v>25</v>
      </c>
      <c r="Q13" s="2" t="s">
        <v>32</v>
      </c>
      <c r="R13" s="2" t="s">
        <v>50</v>
      </c>
      <c r="S13" s="5">
        <v>1</v>
      </c>
      <c r="T13" s="1">
        <v>0</v>
      </c>
      <c r="U13" s="2">
        <f t="shared" si="4"/>
        <v>1</v>
      </c>
      <c r="V13" s="1">
        <v>0</v>
      </c>
      <c r="W13" s="2">
        <f t="shared" si="5"/>
        <v>1</v>
      </c>
      <c r="X13" s="8">
        <f t="shared" si="1"/>
        <v>100</v>
      </c>
    </row>
    <row r="14" spans="1:24">
      <c r="A14" s="9">
        <v>46054</v>
      </c>
      <c r="B14" s="2" t="s">
        <v>45</v>
      </c>
      <c r="C14" s="2" t="s">
        <v>19</v>
      </c>
      <c r="D14" s="2" t="s">
        <v>59</v>
      </c>
      <c r="E14" s="2" t="s">
        <v>60</v>
      </c>
      <c r="F14" s="2" t="s">
        <v>61</v>
      </c>
      <c r="G14" s="2" t="s">
        <v>49</v>
      </c>
      <c r="H14" s="2" t="s">
        <v>24</v>
      </c>
      <c r="I14" s="6">
        <v>29.84</v>
      </c>
      <c r="J14" s="6">
        <v>5322</v>
      </c>
      <c r="K14" s="6">
        <v>173264</v>
      </c>
      <c r="L14" s="6">
        <v>178586</v>
      </c>
      <c r="M14" s="6">
        <v>0</v>
      </c>
      <c r="N14" s="6">
        <v>0</v>
      </c>
      <c r="O14" s="6">
        <v>0</v>
      </c>
      <c r="P14" s="2" t="s">
        <v>25</v>
      </c>
      <c r="Q14" s="2" t="s">
        <v>32</v>
      </c>
      <c r="R14" s="2" t="s">
        <v>50</v>
      </c>
      <c r="S14" s="5">
        <v>1</v>
      </c>
      <c r="T14" s="1">
        <v>0</v>
      </c>
      <c r="U14" s="2">
        <f t="shared" si="4"/>
        <v>1</v>
      </c>
      <c r="V14" s="1">
        <v>0</v>
      </c>
      <c r="W14" s="2">
        <f t="shared" si="5"/>
        <v>1</v>
      </c>
      <c r="X14" s="8">
        <f t="shared" si="1"/>
        <v>100</v>
      </c>
    </row>
    <row r="15" spans="1:24">
      <c r="A15" s="9">
        <v>46054</v>
      </c>
      <c r="B15" s="2" t="s">
        <v>45</v>
      </c>
      <c r="C15" s="2" t="s">
        <v>19</v>
      </c>
      <c r="D15" s="2" t="s">
        <v>62</v>
      </c>
      <c r="E15" s="2" t="s">
        <v>63</v>
      </c>
      <c r="F15" s="2" t="s">
        <v>64</v>
      </c>
      <c r="G15" s="2" t="s">
        <v>65</v>
      </c>
      <c r="H15" s="2" t="s">
        <v>24</v>
      </c>
      <c r="I15" s="6">
        <v>33</v>
      </c>
      <c r="J15" s="6">
        <v>3089</v>
      </c>
      <c r="K15" s="6">
        <v>73196</v>
      </c>
      <c r="L15" s="6">
        <v>76285</v>
      </c>
      <c r="M15" s="6">
        <v>0</v>
      </c>
      <c r="N15" s="6">
        <v>0</v>
      </c>
      <c r="O15" s="6">
        <v>0</v>
      </c>
      <c r="P15" s="2" t="s">
        <v>25</v>
      </c>
      <c r="Q15" s="2" t="s">
        <v>32</v>
      </c>
      <c r="R15" s="2" t="s">
        <v>66</v>
      </c>
      <c r="S15" s="5">
        <v>1</v>
      </c>
      <c r="T15" s="1">
        <v>0</v>
      </c>
      <c r="U15" s="2">
        <f t="shared" si="4"/>
        <v>1</v>
      </c>
      <c r="V15" s="1">
        <v>0</v>
      </c>
      <c r="W15" s="2">
        <f t="shared" si="5"/>
        <v>1</v>
      </c>
      <c r="X15" s="8">
        <f t="shared" si="1"/>
        <v>100</v>
      </c>
    </row>
    <row r="16" spans="1:24">
      <c r="A16" s="9">
        <v>46054</v>
      </c>
      <c r="B16" s="2" t="s">
        <v>45</v>
      </c>
      <c r="C16" s="2" t="s">
        <v>19</v>
      </c>
      <c r="D16" s="2" t="s">
        <v>67</v>
      </c>
      <c r="E16" s="2" t="s">
        <v>68</v>
      </c>
      <c r="F16" s="2" t="s">
        <v>69</v>
      </c>
      <c r="G16" s="2" t="s">
        <v>70</v>
      </c>
      <c r="H16" s="2" t="s">
        <v>24</v>
      </c>
      <c r="I16" s="6">
        <v>29.84</v>
      </c>
      <c r="J16" s="6">
        <v>12444</v>
      </c>
      <c r="K16" s="6">
        <v>248608</v>
      </c>
      <c r="L16" s="6">
        <v>261275</v>
      </c>
      <c r="M16" s="6">
        <v>0</v>
      </c>
      <c r="N16" s="6">
        <v>223</v>
      </c>
      <c r="O16" s="6">
        <v>0</v>
      </c>
      <c r="P16" s="2" t="s">
        <v>25</v>
      </c>
      <c r="Q16" s="2" t="s">
        <v>32</v>
      </c>
      <c r="R16" s="2" t="s">
        <v>50</v>
      </c>
      <c r="S16" s="5">
        <v>1</v>
      </c>
      <c r="T16" s="1">
        <v>0</v>
      </c>
      <c r="U16" s="2">
        <f t="shared" si="4"/>
        <v>1</v>
      </c>
      <c r="V16" s="1">
        <v>0</v>
      </c>
      <c r="W16" s="2">
        <f t="shared" si="5"/>
        <v>1</v>
      </c>
      <c r="X16" s="8">
        <f t="shared" si="1"/>
        <v>100</v>
      </c>
    </row>
    <row r="17" spans="1:24">
      <c r="A17" s="9">
        <v>46054</v>
      </c>
      <c r="B17" s="2" t="s">
        <v>45</v>
      </c>
      <c r="C17" s="2" t="s">
        <v>19</v>
      </c>
      <c r="D17" s="2" t="s">
        <v>71</v>
      </c>
      <c r="E17" s="2" t="s">
        <v>72</v>
      </c>
      <c r="F17" s="2" t="s">
        <v>73</v>
      </c>
      <c r="G17" s="2"/>
      <c r="H17" s="2" t="s">
        <v>24</v>
      </c>
      <c r="I17" s="6">
        <v>40</v>
      </c>
      <c r="J17" s="6">
        <v>771</v>
      </c>
      <c r="K17" s="6">
        <v>1180</v>
      </c>
      <c r="L17" s="6">
        <v>1230</v>
      </c>
      <c r="M17" s="6">
        <v>0</v>
      </c>
      <c r="N17" s="6">
        <v>50</v>
      </c>
      <c r="O17" s="6">
        <v>771</v>
      </c>
      <c r="P17" s="2" t="s">
        <v>25</v>
      </c>
      <c r="Q17" s="2" t="s">
        <v>32</v>
      </c>
      <c r="R17" s="2" t="s">
        <v>27</v>
      </c>
      <c r="S17" s="5">
        <v>1</v>
      </c>
      <c r="T17" s="1">
        <v>0</v>
      </c>
      <c r="U17" s="2">
        <f t="shared" si="4"/>
        <v>1</v>
      </c>
      <c r="V17" s="1">
        <v>0</v>
      </c>
      <c r="W17" s="2">
        <f t="shared" si="5"/>
        <v>1</v>
      </c>
      <c r="X17" s="8">
        <f t="shared" si="1"/>
        <v>100</v>
      </c>
    </row>
    <row r="18" spans="1:24">
      <c r="A18" s="9">
        <v>46054</v>
      </c>
      <c r="B18" s="2" t="s">
        <v>45</v>
      </c>
      <c r="C18" s="2" t="s">
        <v>19</v>
      </c>
      <c r="D18" s="2" t="s">
        <v>74</v>
      </c>
      <c r="E18" s="2" t="s">
        <v>54</v>
      </c>
      <c r="F18" s="2" t="s">
        <v>75</v>
      </c>
      <c r="G18" s="2" t="s">
        <v>65</v>
      </c>
      <c r="H18" s="2" t="s">
        <v>24</v>
      </c>
      <c r="I18" s="6">
        <v>29.84</v>
      </c>
      <c r="J18" s="6">
        <v>81989</v>
      </c>
      <c r="K18" s="6">
        <v>838295</v>
      </c>
      <c r="L18" s="6">
        <v>922827</v>
      </c>
      <c r="M18" s="6">
        <v>0</v>
      </c>
      <c r="N18" s="6">
        <v>2543</v>
      </c>
      <c r="O18" s="6">
        <v>0</v>
      </c>
      <c r="P18" s="2" t="s">
        <v>25</v>
      </c>
      <c r="Q18" s="2" t="s">
        <v>32</v>
      </c>
      <c r="R18" s="2" t="s">
        <v>50</v>
      </c>
      <c r="S18" s="5">
        <v>1</v>
      </c>
      <c r="T18" s="1">
        <v>0</v>
      </c>
      <c r="U18" s="2">
        <f t="shared" si="4"/>
        <v>1</v>
      </c>
      <c r="V18" s="1">
        <v>0</v>
      </c>
      <c r="W18" s="2">
        <f t="shared" si="5"/>
        <v>1</v>
      </c>
      <c r="X18" s="8">
        <f t="shared" si="1"/>
        <v>100</v>
      </c>
    </row>
    <row r="19" spans="1:24">
      <c r="A19" s="9">
        <v>46054</v>
      </c>
      <c r="B19" s="2" t="s">
        <v>45</v>
      </c>
      <c r="C19" s="2" t="s">
        <v>19</v>
      </c>
      <c r="D19" s="2" t="s">
        <v>76</v>
      </c>
      <c r="E19" s="2" t="s">
        <v>60</v>
      </c>
      <c r="F19" s="2" t="s">
        <v>77</v>
      </c>
      <c r="G19" s="2" t="s">
        <v>49</v>
      </c>
      <c r="H19" s="2" t="s">
        <v>24</v>
      </c>
      <c r="I19" s="6">
        <v>29.84</v>
      </c>
      <c r="J19" s="6">
        <v>334669</v>
      </c>
      <c r="K19" s="6">
        <v>1180</v>
      </c>
      <c r="L19" s="6">
        <v>0</v>
      </c>
      <c r="M19" s="6">
        <v>0</v>
      </c>
      <c r="N19" s="6">
        <v>150</v>
      </c>
      <c r="O19" s="6">
        <v>335999</v>
      </c>
      <c r="P19" s="2" t="s">
        <v>25</v>
      </c>
      <c r="Q19" s="2" t="s">
        <v>32</v>
      </c>
      <c r="R19" s="2" t="s">
        <v>50</v>
      </c>
      <c r="S19" s="5">
        <v>0</v>
      </c>
      <c r="T19" s="1">
        <v>1</v>
      </c>
      <c r="U19" s="2">
        <f t="shared" si="4"/>
        <v>1</v>
      </c>
      <c r="V19" s="1">
        <v>0</v>
      </c>
      <c r="W19" s="2">
        <f t="shared" si="5"/>
        <v>1</v>
      </c>
      <c r="X19" s="8">
        <f t="shared" si="1"/>
        <v>0</v>
      </c>
    </row>
    <row r="20" spans="1:24">
      <c r="A20" s="9">
        <v>46054</v>
      </c>
      <c r="B20" s="2" t="s">
        <v>45</v>
      </c>
      <c r="C20" s="2" t="s">
        <v>19</v>
      </c>
      <c r="D20" s="2" t="s">
        <v>1739</v>
      </c>
      <c r="E20" s="2" t="s">
        <v>1740</v>
      </c>
      <c r="F20" s="2" t="s">
        <v>77</v>
      </c>
      <c r="G20" s="2" t="s">
        <v>49</v>
      </c>
      <c r="H20" s="2" t="s">
        <v>24</v>
      </c>
      <c r="I20" s="6">
        <v>29.84</v>
      </c>
      <c r="J20" s="6">
        <v>5568</v>
      </c>
      <c r="K20" s="6">
        <v>1191</v>
      </c>
      <c r="L20" s="6">
        <v>6809</v>
      </c>
      <c r="M20" s="6">
        <v>0</v>
      </c>
      <c r="N20" s="6">
        <v>50</v>
      </c>
      <c r="O20" s="6">
        <v>0</v>
      </c>
      <c r="P20" s="2" t="s">
        <v>40</v>
      </c>
      <c r="Q20" s="2" t="s">
        <v>32</v>
      </c>
      <c r="R20" s="2" t="s">
        <v>50</v>
      </c>
      <c r="S20" s="5">
        <v>0</v>
      </c>
      <c r="T20" s="1">
        <v>1</v>
      </c>
      <c r="U20" s="2">
        <f t="shared" si="4"/>
        <v>1</v>
      </c>
      <c r="V20" s="1">
        <v>0</v>
      </c>
      <c r="W20" s="2">
        <f t="shared" si="5"/>
        <v>1</v>
      </c>
      <c r="X20" s="8">
        <f t="shared" si="1"/>
        <v>0</v>
      </c>
    </row>
    <row r="21" spans="1:24">
      <c r="A21" s="9">
        <v>46054</v>
      </c>
      <c r="B21" s="2" t="s">
        <v>45</v>
      </c>
      <c r="C21" s="2" t="s">
        <v>19</v>
      </c>
      <c r="D21" s="2" t="s">
        <v>78</v>
      </c>
      <c r="E21" s="2" t="s">
        <v>54</v>
      </c>
      <c r="F21" s="2" t="s">
        <v>79</v>
      </c>
      <c r="G21" s="2" t="s">
        <v>65</v>
      </c>
      <c r="H21" s="2" t="s">
        <v>24</v>
      </c>
      <c r="I21" s="6">
        <v>30</v>
      </c>
      <c r="J21" s="6">
        <v>667</v>
      </c>
      <c r="K21" s="6">
        <v>1357</v>
      </c>
      <c r="L21" s="6">
        <v>0</v>
      </c>
      <c r="M21" s="6">
        <v>0</v>
      </c>
      <c r="N21" s="6">
        <v>132</v>
      </c>
      <c r="O21" s="6">
        <v>2156</v>
      </c>
      <c r="P21" s="2" t="s">
        <v>25</v>
      </c>
      <c r="Q21" s="2" t="s">
        <v>32</v>
      </c>
      <c r="R21" s="2" t="s">
        <v>50</v>
      </c>
      <c r="S21" s="5">
        <v>1</v>
      </c>
      <c r="T21" s="1">
        <v>0</v>
      </c>
      <c r="U21" s="2">
        <f t="shared" si="4"/>
        <v>1</v>
      </c>
      <c r="V21" s="1">
        <v>0</v>
      </c>
      <c r="W21" s="2">
        <f t="shared" si="5"/>
        <v>1</v>
      </c>
      <c r="X21" s="8">
        <f t="shared" si="1"/>
        <v>100</v>
      </c>
    </row>
    <row r="22" spans="1:24">
      <c r="A22" s="9">
        <v>46054</v>
      </c>
      <c r="B22" s="2" t="s">
        <v>45</v>
      </c>
      <c r="C22" s="2" t="s">
        <v>19</v>
      </c>
      <c r="D22" s="2" t="s">
        <v>80</v>
      </c>
      <c r="E22" s="2" t="s">
        <v>72</v>
      </c>
      <c r="F22" s="2" t="s">
        <v>81</v>
      </c>
      <c r="G22" s="2" t="s">
        <v>82</v>
      </c>
      <c r="H22" s="2" t="s">
        <v>24</v>
      </c>
      <c r="I22" s="6">
        <v>73</v>
      </c>
      <c r="J22" s="6">
        <v>3546</v>
      </c>
      <c r="K22" s="6">
        <v>66588</v>
      </c>
      <c r="L22" s="6">
        <v>69032</v>
      </c>
      <c r="M22" s="6">
        <v>0</v>
      </c>
      <c r="N22" s="6">
        <v>0</v>
      </c>
      <c r="O22" s="6">
        <v>1102</v>
      </c>
      <c r="P22" s="2" t="s">
        <v>25</v>
      </c>
      <c r="Q22" s="2" t="s">
        <v>32</v>
      </c>
      <c r="R22" s="2" t="s">
        <v>27</v>
      </c>
      <c r="S22" s="5">
        <v>1</v>
      </c>
      <c r="T22" s="1">
        <v>0</v>
      </c>
      <c r="U22" s="2">
        <f t="shared" si="4"/>
        <v>1</v>
      </c>
      <c r="V22" s="1">
        <v>0</v>
      </c>
      <c r="W22" s="2">
        <f t="shared" si="5"/>
        <v>1</v>
      </c>
      <c r="X22" s="8">
        <f t="shared" si="1"/>
        <v>100</v>
      </c>
    </row>
    <row r="23" spans="1:24">
      <c r="A23" s="9">
        <v>46054</v>
      </c>
      <c r="B23" s="2" t="s">
        <v>45</v>
      </c>
      <c r="C23" s="2" t="s">
        <v>19</v>
      </c>
      <c r="D23" s="2" t="s">
        <v>83</v>
      </c>
      <c r="E23" s="2" t="s">
        <v>84</v>
      </c>
      <c r="F23" s="2" t="s">
        <v>85</v>
      </c>
      <c r="G23" s="2" t="s">
        <v>23</v>
      </c>
      <c r="H23" s="2" t="s">
        <v>24</v>
      </c>
      <c r="I23" s="6">
        <v>35</v>
      </c>
      <c r="J23" s="6">
        <v>50</v>
      </c>
      <c r="K23" s="6">
        <v>1180</v>
      </c>
      <c r="L23" s="6">
        <v>1230</v>
      </c>
      <c r="M23" s="6">
        <v>0</v>
      </c>
      <c r="N23" s="6">
        <v>50</v>
      </c>
      <c r="O23" s="6">
        <v>50</v>
      </c>
      <c r="P23" s="2" t="s">
        <v>25</v>
      </c>
      <c r="Q23" s="2" t="s">
        <v>32</v>
      </c>
      <c r="R23" s="2" t="s">
        <v>27</v>
      </c>
      <c r="S23" s="5">
        <v>1</v>
      </c>
      <c r="T23" s="1">
        <v>0</v>
      </c>
      <c r="U23" s="2">
        <f t="shared" si="4"/>
        <v>1</v>
      </c>
      <c r="V23" s="1">
        <v>0</v>
      </c>
      <c r="W23" s="2">
        <f t="shared" si="5"/>
        <v>1</v>
      </c>
      <c r="X23" s="8">
        <f t="shared" si="1"/>
        <v>100</v>
      </c>
    </row>
    <row r="24" spans="1:24">
      <c r="A24" s="9">
        <v>46054</v>
      </c>
      <c r="B24" s="2" t="s">
        <v>45</v>
      </c>
      <c r="C24" s="2" t="s">
        <v>19</v>
      </c>
      <c r="D24" s="2" t="s">
        <v>86</v>
      </c>
      <c r="E24" s="2" t="s">
        <v>87</v>
      </c>
      <c r="F24" s="2" t="s">
        <v>88</v>
      </c>
      <c r="G24" s="2" t="s">
        <v>89</v>
      </c>
      <c r="H24" s="2" t="s">
        <v>24</v>
      </c>
      <c r="I24" s="6">
        <v>38</v>
      </c>
      <c r="J24" s="6">
        <v>13174</v>
      </c>
      <c r="K24" s="6">
        <v>153967</v>
      </c>
      <c r="L24" s="6">
        <v>167141</v>
      </c>
      <c r="M24" s="6">
        <v>0</v>
      </c>
      <c r="N24" s="6">
        <v>0</v>
      </c>
      <c r="O24" s="6">
        <v>0</v>
      </c>
      <c r="P24" s="2" t="s">
        <v>25</v>
      </c>
      <c r="Q24" s="2" t="s">
        <v>32</v>
      </c>
      <c r="R24" s="2" t="s">
        <v>27</v>
      </c>
      <c r="S24" s="5">
        <v>1</v>
      </c>
      <c r="T24" s="1">
        <v>0</v>
      </c>
      <c r="U24" s="2">
        <f t="shared" si="4"/>
        <v>1</v>
      </c>
      <c r="V24" s="1">
        <v>0</v>
      </c>
      <c r="W24" s="2">
        <f t="shared" si="5"/>
        <v>1</v>
      </c>
      <c r="X24" s="8">
        <f t="shared" si="1"/>
        <v>100</v>
      </c>
    </row>
    <row r="25" spans="1:24" ht="15" customHeight="1">
      <c r="A25" s="9">
        <v>46054</v>
      </c>
      <c r="B25" s="2" t="s">
        <v>45</v>
      </c>
      <c r="C25" s="2" t="s">
        <v>19</v>
      </c>
      <c r="D25" s="2" t="s">
        <v>90</v>
      </c>
      <c r="E25" s="2" t="s">
        <v>91</v>
      </c>
      <c r="F25" s="2" t="s">
        <v>92</v>
      </c>
      <c r="G25" s="2"/>
      <c r="H25" s="2" t="s">
        <v>24</v>
      </c>
      <c r="I25" s="6">
        <v>22.38</v>
      </c>
      <c r="J25" s="6">
        <v>50</v>
      </c>
      <c r="K25" s="6">
        <v>1180</v>
      </c>
      <c r="L25" s="6">
        <v>1230</v>
      </c>
      <c r="M25" s="6">
        <v>0</v>
      </c>
      <c r="N25" s="6">
        <v>50</v>
      </c>
      <c r="O25" s="6">
        <v>50</v>
      </c>
      <c r="P25" s="2" t="s">
        <v>25</v>
      </c>
      <c r="Q25" s="2" t="s">
        <v>32</v>
      </c>
      <c r="R25" s="2" t="s">
        <v>27</v>
      </c>
      <c r="S25" s="5">
        <v>1</v>
      </c>
      <c r="T25" s="1">
        <v>0</v>
      </c>
      <c r="U25" s="2">
        <f>T25+S25</f>
        <v>1</v>
      </c>
      <c r="V25" s="1">
        <v>0</v>
      </c>
      <c r="W25" s="2">
        <f>V25+U25</f>
        <v>1</v>
      </c>
      <c r="X25" s="8">
        <v>100</v>
      </c>
    </row>
    <row r="26" spans="1:24" ht="15" customHeight="1">
      <c r="A26" s="9">
        <v>46054</v>
      </c>
      <c r="B26" s="2" t="s">
        <v>45</v>
      </c>
      <c r="C26" s="2" t="s">
        <v>19</v>
      </c>
      <c r="D26" s="2" t="s">
        <v>1405</v>
      </c>
      <c r="E26" s="2" t="s">
        <v>35</v>
      </c>
      <c r="F26" s="2" t="s">
        <v>1406</v>
      </c>
      <c r="G26" s="2" t="s">
        <v>65</v>
      </c>
      <c r="H26" s="2" t="s">
        <v>24</v>
      </c>
      <c r="I26" s="6">
        <v>45</v>
      </c>
      <c r="J26" s="6">
        <v>3100</v>
      </c>
      <c r="K26" s="6">
        <v>63177</v>
      </c>
      <c r="L26" s="6">
        <v>66277</v>
      </c>
      <c r="M26" s="6">
        <v>0</v>
      </c>
      <c r="N26" s="6">
        <v>0</v>
      </c>
      <c r="O26" s="6">
        <v>0</v>
      </c>
      <c r="P26" s="2" t="s">
        <v>25</v>
      </c>
      <c r="Q26" s="2" t="s">
        <v>32</v>
      </c>
      <c r="R26" s="2" t="s">
        <v>50</v>
      </c>
      <c r="S26" s="5">
        <v>1</v>
      </c>
      <c r="T26" s="1">
        <v>0</v>
      </c>
      <c r="U26" s="2">
        <f>T26+S26</f>
        <v>1</v>
      </c>
      <c r="V26" s="1">
        <v>0</v>
      </c>
      <c r="W26" s="2">
        <f>V26+U26</f>
        <v>1</v>
      </c>
      <c r="X26" s="8">
        <f t="shared" ref="X26" si="6">100/U26*S26</f>
        <v>100</v>
      </c>
    </row>
    <row r="27" spans="1:24">
      <c r="A27" s="9">
        <v>46054</v>
      </c>
      <c r="B27" s="2" t="s">
        <v>45</v>
      </c>
      <c r="C27" s="2" t="s">
        <v>19</v>
      </c>
      <c r="D27" s="2" t="s">
        <v>93</v>
      </c>
      <c r="E27" s="2" t="s">
        <v>21</v>
      </c>
      <c r="F27" s="2" t="s">
        <v>36</v>
      </c>
      <c r="G27" s="2" t="s">
        <v>23</v>
      </c>
      <c r="H27" s="2" t="s">
        <v>24</v>
      </c>
      <c r="I27" s="6">
        <v>40</v>
      </c>
      <c r="J27" s="6">
        <v>-5587</v>
      </c>
      <c r="K27" s="6">
        <v>0</v>
      </c>
      <c r="L27" s="6">
        <v>0</v>
      </c>
      <c r="M27" s="6">
        <v>0</v>
      </c>
      <c r="N27" s="6">
        <v>0</v>
      </c>
      <c r="O27" s="6">
        <v>-5587</v>
      </c>
      <c r="P27" s="2" t="s">
        <v>25</v>
      </c>
      <c r="Q27" s="2" t="s">
        <v>26</v>
      </c>
      <c r="R27" s="2" t="s">
        <v>27</v>
      </c>
      <c r="S27" s="5">
        <v>0</v>
      </c>
      <c r="T27" s="1">
        <v>0</v>
      </c>
      <c r="U27" s="2">
        <f>T27+S27</f>
        <v>0</v>
      </c>
      <c r="V27" s="1">
        <v>1</v>
      </c>
      <c r="W27" s="2">
        <f t="shared" ref="W27:W28" si="7">V27+U27</f>
        <v>1</v>
      </c>
      <c r="X27" s="8" t="e">
        <f t="shared" si="1"/>
        <v>#DIV/0!</v>
      </c>
    </row>
    <row r="28" spans="1:24">
      <c r="A28" s="9">
        <v>46054</v>
      </c>
      <c r="B28" s="2" t="s">
        <v>95</v>
      </c>
      <c r="C28" s="2" t="s">
        <v>19</v>
      </c>
      <c r="D28" s="2" t="s">
        <v>1545</v>
      </c>
      <c r="E28" s="2" t="s">
        <v>1402</v>
      </c>
      <c r="F28" s="2" t="s">
        <v>1546</v>
      </c>
      <c r="G28" s="2" t="s">
        <v>1547</v>
      </c>
      <c r="H28" s="2" t="s">
        <v>24</v>
      </c>
      <c r="I28" s="6">
        <v>22.39</v>
      </c>
      <c r="J28" s="6">
        <v>1432724</v>
      </c>
      <c r="K28" s="6">
        <v>197200</v>
      </c>
      <c r="L28" s="6">
        <v>250000</v>
      </c>
      <c r="M28" s="6">
        <v>0</v>
      </c>
      <c r="N28" s="6">
        <v>8181</v>
      </c>
      <c r="O28" s="6">
        <v>1388105</v>
      </c>
      <c r="P28" s="2" t="s">
        <v>25</v>
      </c>
      <c r="Q28" s="2" t="s">
        <v>32</v>
      </c>
      <c r="R28" s="2" t="s">
        <v>50</v>
      </c>
      <c r="S28" s="5">
        <v>1</v>
      </c>
      <c r="T28" s="1">
        <v>0</v>
      </c>
      <c r="U28" s="2">
        <f t="shared" ref="U28" si="8">T28+S28</f>
        <v>1</v>
      </c>
      <c r="V28" s="1">
        <v>0</v>
      </c>
      <c r="W28" s="2">
        <f t="shared" si="7"/>
        <v>1</v>
      </c>
      <c r="X28" s="8">
        <f t="shared" si="1"/>
        <v>100</v>
      </c>
    </row>
    <row r="29" spans="1:24" ht="15" customHeight="1">
      <c r="A29" s="9">
        <v>46054</v>
      </c>
      <c r="B29" s="2" t="s">
        <v>95</v>
      </c>
      <c r="C29" s="2" t="s">
        <v>19</v>
      </c>
      <c r="D29" s="2" t="s">
        <v>96</v>
      </c>
      <c r="E29" s="2" t="s">
        <v>21</v>
      </c>
      <c r="F29" s="2" t="s">
        <v>97</v>
      </c>
      <c r="G29" s="2" t="s">
        <v>23</v>
      </c>
      <c r="H29" s="2" t="s">
        <v>24</v>
      </c>
      <c r="I29" s="6">
        <v>25</v>
      </c>
      <c r="J29" s="6">
        <v>6194</v>
      </c>
      <c r="K29" s="6">
        <v>1507</v>
      </c>
      <c r="L29" s="6">
        <v>0</v>
      </c>
      <c r="M29" s="6">
        <v>0</v>
      </c>
      <c r="N29" s="6">
        <v>0</v>
      </c>
      <c r="O29" s="6">
        <v>7701</v>
      </c>
      <c r="P29" s="2" t="s">
        <v>25</v>
      </c>
      <c r="Q29" s="2" t="s">
        <v>32</v>
      </c>
      <c r="R29" s="2" t="s">
        <v>27</v>
      </c>
      <c r="S29" s="5">
        <v>1</v>
      </c>
      <c r="T29" s="1">
        <v>0</v>
      </c>
      <c r="U29" s="2">
        <f>T29+S29</f>
        <v>1</v>
      </c>
      <c r="V29" s="1">
        <v>0</v>
      </c>
      <c r="W29" s="2">
        <f>V29+U29</f>
        <v>1</v>
      </c>
      <c r="X29" s="8">
        <f t="shared" si="1"/>
        <v>100</v>
      </c>
    </row>
    <row r="30" spans="1:24" ht="15" customHeight="1">
      <c r="A30" s="9">
        <v>46054</v>
      </c>
      <c r="B30" s="2" t="s">
        <v>95</v>
      </c>
      <c r="C30" s="2" t="s">
        <v>19</v>
      </c>
      <c r="D30" s="2" t="s">
        <v>1407</v>
      </c>
      <c r="E30" s="2" t="s">
        <v>1408</v>
      </c>
      <c r="F30" s="2" t="s">
        <v>1409</v>
      </c>
      <c r="G30" s="2" t="s">
        <v>65</v>
      </c>
      <c r="H30" s="2" t="s">
        <v>24</v>
      </c>
      <c r="I30" s="6">
        <v>22.38</v>
      </c>
      <c r="J30" s="6">
        <v>50</v>
      </c>
      <c r="K30" s="6">
        <v>1180</v>
      </c>
      <c r="L30" s="6">
        <v>1230</v>
      </c>
      <c r="M30" s="6">
        <v>0</v>
      </c>
      <c r="N30" s="6">
        <v>0</v>
      </c>
      <c r="O30" s="6">
        <v>0</v>
      </c>
      <c r="P30" s="2" t="s">
        <v>25</v>
      </c>
      <c r="Q30" s="2" t="s">
        <v>32</v>
      </c>
      <c r="R30" s="2" t="s">
        <v>50</v>
      </c>
      <c r="S30" s="5">
        <v>0</v>
      </c>
      <c r="T30" s="1">
        <v>1</v>
      </c>
      <c r="U30" s="2">
        <f>T30+S30</f>
        <v>1</v>
      </c>
      <c r="V30" s="1">
        <v>0</v>
      </c>
      <c r="W30" s="2">
        <f>V30+U30</f>
        <v>1</v>
      </c>
      <c r="X30" s="8">
        <f t="shared" si="1"/>
        <v>0</v>
      </c>
    </row>
    <row r="31" spans="1:24">
      <c r="A31" s="9">
        <v>46054</v>
      </c>
      <c r="B31" s="2" t="s">
        <v>95</v>
      </c>
      <c r="C31" s="2" t="s">
        <v>19</v>
      </c>
      <c r="D31" s="2" t="s">
        <v>98</v>
      </c>
      <c r="E31" s="2" t="s">
        <v>21</v>
      </c>
      <c r="F31" s="2" t="s">
        <v>75</v>
      </c>
      <c r="G31" s="2" t="s">
        <v>23</v>
      </c>
      <c r="H31" s="2" t="s">
        <v>94</v>
      </c>
      <c r="I31" s="6">
        <v>15</v>
      </c>
      <c r="J31" s="6">
        <v>-56</v>
      </c>
      <c r="K31" s="6">
        <v>0</v>
      </c>
      <c r="L31" s="6">
        <v>0</v>
      </c>
      <c r="M31" s="6">
        <v>0</v>
      </c>
      <c r="N31" s="6">
        <v>0</v>
      </c>
      <c r="O31" s="6">
        <v>-56</v>
      </c>
      <c r="P31" s="2" t="s">
        <v>25</v>
      </c>
      <c r="Q31" s="2" t="s">
        <v>26</v>
      </c>
      <c r="R31" s="2" t="s">
        <v>27</v>
      </c>
      <c r="S31" s="5">
        <v>0</v>
      </c>
      <c r="T31" s="1">
        <v>0</v>
      </c>
      <c r="U31" s="2">
        <f>T31+S31</f>
        <v>0</v>
      </c>
      <c r="V31" s="1">
        <v>1</v>
      </c>
      <c r="W31" s="2">
        <f t="shared" ref="W31:W60" si="9">V31+U31</f>
        <v>1</v>
      </c>
      <c r="X31" s="8" t="e">
        <f t="shared" si="1"/>
        <v>#DIV/0!</v>
      </c>
    </row>
    <row r="32" spans="1:24">
      <c r="A32" s="9">
        <v>46054</v>
      </c>
      <c r="B32" s="2" t="s">
        <v>95</v>
      </c>
      <c r="C32" s="2" t="s">
        <v>19</v>
      </c>
      <c r="D32" s="2" t="s">
        <v>99</v>
      </c>
      <c r="E32" s="2" t="s">
        <v>21</v>
      </c>
      <c r="F32" s="2" t="s">
        <v>75</v>
      </c>
      <c r="G32" s="2" t="s">
        <v>23</v>
      </c>
      <c r="H32" s="2" t="s">
        <v>24</v>
      </c>
      <c r="I32" s="6">
        <v>24</v>
      </c>
      <c r="J32" s="6">
        <v>-41440</v>
      </c>
      <c r="K32" s="6">
        <v>1180</v>
      </c>
      <c r="L32" s="6">
        <v>0</v>
      </c>
      <c r="M32" s="6">
        <v>0</v>
      </c>
      <c r="N32" s="6">
        <v>0</v>
      </c>
      <c r="O32" s="6">
        <v>-40260</v>
      </c>
      <c r="P32" s="2" t="s">
        <v>25</v>
      </c>
      <c r="Q32" s="2" t="s">
        <v>32</v>
      </c>
      <c r="R32" s="2" t="s">
        <v>27</v>
      </c>
      <c r="S32" s="5">
        <v>0</v>
      </c>
      <c r="T32" s="1">
        <v>1</v>
      </c>
      <c r="U32" s="2">
        <f t="shared" ref="U32:U60" si="10">T32+S32</f>
        <v>1</v>
      </c>
      <c r="V32" s="1">
        <v>0</v>
      </c>
      <c r="W32" s="2">
        <f t="shared" si="9"/>
        <v>1</v>
      </c>
      <c r="X32" s="8">
        <f t="shared" si="1"/>
        <v>0</v>
      </c>
    </row>
    <row r="33" spans="1:24">
      <c r="A33" s="9">
        <v>46054</v>
      </c>
      <c r="B33" s="2" t="s">
        <v>95</v>
      </c>
      <c r="C33" s="2" t="s">
        <v>19</v>
      </c>
      <c r="D33" s="2" t="s">
        <v>100</v>
      </c>
      <c r="E33" s="2" t="s">
        <v>101</v>
      </c>
      <c r="F33" s="2" t="s">
        <v>102</v>
      </c>
      <c r="G33" s="2" t="s">
        <v>23</v>
      </c>
      <c r="H33" s="2" t="s">
        <v>24</v>
      </c>
      <c r="I33" s="6">
        <v>18.649999999999999</v>
      </c>
      <c r="J33" s="6">
        <v>50</v>
      </c>
      <c r="K33" s="6">
        <v>1180</v>
      </c>
      <c r="L33" s="6">
        <v>1230</v>
      </c>
      <c r="M33" s="6">
        <v>0</v>
      </c>
      <c r="N33" s="6">
        <v>0</v>
      </c>
      <c r="O33" s="6">
        <v>0</v>
      </c>
      <c r="P33" s="2" t="s">
        <v>25</v>
      </c>
      <c r="Q33" s="2" t="s">
        <v>32</v>
      </c>
      <c r="R33" s="2" t="s">
        <v>27</v>
      </c>
      <c r="S33" s="5">
        <v>0</v>
      </c>
      <c r="T33" s="1">
        <v>1</v>
      </c>
      <c r="U33" s="2">
        <f t="shared" si="10"/>
        <v>1</v>
      </c>
      <c r="V33" s="1">
        <v>0</v>
      </c>
      <c r="W33" s="2">
        <f t="shared" si="9"/>
        <v>1</v>
      </c>
      <c r="X33" s="8">
        <f t="shared" si="1"/>
        <v>0</v>
      </c>
    </row>
    <row r="34" spans="1:24">
      <c r="A34" s="9">
        <v>46054</v>
      </c>
      <c r="B34" s="2" t="s">
        <v>95</v>
      </c>
      <c r="C34" s="2" t="s">
        <v>19</v>
      </c>
      <c r="D34" s="2" t="s">
        <v>103</v>
      </c>
      <c r="E34" s="2" t="s">
        <v>72</v>
      </c>
      <c r="F34" s="2" t="s">
        <v>104</v>
      </c>
      <c r="G34" s="2" t="s">
        <v>105</v>
      </c>
      <c r="H34" s="2" t="s">
        <v>24</v>
      </c>
      <c r="I34" s="6">
        <v>22.38</v>
      </c>
      <c r="J34" s="6">
        <v>50</v>
      </c>
      <c r="K34" s="6">
        <v>1180</v>
      </c>
      <c r="L34" s="6">
        <v>1230</v>
      </c>
      <c r="M34" s="6">
        <v>0</v>
      </c>
      <c r="N34" s="6">
        <v>0</v>
      </c>
      <c r="O34" s="6">
        <v>0</v>
      </c>
      <c r="P34" s="2" t="s">
        <v>25</v>
      </c>
      <c r="Q34" s="2" t="s">
        <v>32</v>
      </c>
      <c r="R34" s="2" t="s">
        <v>27</v>
      </c>
      <c r="S34" s="5">
        <v>1</v>
      </c>
      <c r="T34" s="1">
        <v>0</v>
      </c>
      <c r="U34" s="2">
        <f t="shared" si="10"/>
        <v>1</v>
      </c>
      <c r="V34" s="1">
        <v>0</v>
      </c>
      <c r="W34" s="2">
        <f t="shared" si="9"/>
        <v>1</v>
      </c>
      <c r="X34" s="8">
        <f t="shared" si="1"/>
        <v>100</v>
      </c>
    </row>
    <row r="35" spans="1:24">
      <c r="A35" s="9">
        <v>46054</v>
      </c>
      <c r="B35" s="2" t="s">
        <v>95</v>
      </c>
      <c r="C35" s="2" t="s">
        <v>19</v>
      </c>
      <c r="D35" s="2" t="s">
        <v>106</v>
      </c>
      <c r="E35" s="2" t="s">
        <v>72</v>
      </c>
      <c r="F35" s="2" t="s">
        <v>107</v>
      </c>
      <c r="G35" s="2"/>
      <c r="H35" s="2" t="s">
        <v>24</v>
      </c>
      <c r="I35" s="6">
        <v>22.38</v>
      </c>
      <c r="J35" s="6">
        <v>752</v>
      </c>
      <c r="K35" s="6">
        <v>1192</v>
      </c>
      <c r="L35" s="6">
        <v>1242</v>
      </c>
      <c r="M35" s="6">
        <v>0</v>
      </c>
      <c r="N35" s="6">
        <v>0</v>
      </c>
      <c r="O35" s="6">
        <v>702</v>
      </c>
      <c r="P35" s="2" t="s">
        <v>25</v>
      </c>
      <c r="Q35" s="2" t="s">
        <v>32</v>
      </c>
      <c r="R35" s="2" t="s">
        <v>27</v>
      </c>
      <c r="S35" s="5">
        <v>1</v>
      </c>
      <c r="T35" s="1">
        <v>0</v>
      </c>
      <c r="U35" s="2">
        <f t="shared" si="10"/>
        <v>1</v>
      </c>
      <c r="V35" s="1">
        <v>0</v>
      </c>
      <c r="W35" s="2">
        <f t="shared" si="9"/>
        <v>1</v>
      </c>
      <c r="X35" s="8">
        <f t="shared" si="1"/>
        <v>100</v>
      </c>
    </row>
    <row r="36" spans="1:24">
      <c r="A36" s="9">
        <v>46054</v>
      </c>
      <c r="B36" s="2" t="s">
        <v>95</v>
      </c>
      <c r="C36" s="2" t="s">
        <v>19</v>
      </c>
      <c r="D36" s="2" t="s">
        <v>108</v>
      </c>
      <c r="E36" s="2" t="s">
        <v>21</v>
      </c>
      <c r="F36" s="2" t="s">
        <v>36</v>
      </c>
      <c r="G36" s="2" t="s">
        <v>23</v>
      </c>
      <c r="H36" s="2" t="s">
        <v>24</v>
      </c>
      <c r="I36" s="6">
        <v>22.38</v>
      </c>
      <c r="J36" s="6">
        <v>-59124</v>
      </c>
      <c r="K36" s="6">
        <v>1180</v>
      </c>
      <c r="L36" s="6">
        <v>0</v>
      </c>
      <c r="M36" s="6">
        <v>0</v>
      </c>
      <c r="N36" s="6">
        <v>0</v>
      </c>
      <c r="O36" s="6">
        <v>-57944</v>
      </c>
      <c r="P36" s="2" t="s">
        <v>25</v>
      </c>
      <c r="Q36" s="2" t="s">
        <v>32</v>
      </c>
      <c r="R36" s="2" t="s">
        <v>27</v>
      </c>
      <c r="S36" s="5">
        <v>1</v>
      </c>
      <c r="T36" s="1">
        <v>0</v>
      </c>
      <c r="U36" s="2">
        <f t="shared" si="10"/>
        <v>1</v>
      </c>
      <c r="V36" s="1">
        <v>0</v>
      </c>
      <c r="W36" s="2">
        <f t="shared" si="9"/>
        <v>1</v>
      </c>
      <c r="X36" s="8">
        <f t="shared" si="1"/>
        <v>100</v>
      </c>
    </row>
    <row r="37" spans="1:24">
      <c r="A37" s="9">
        <v>46054</v>
      </c>
      <c r="B37" s="2" t="s">
        <v>95</v>
      </c>
      <c r="C37" s="2" t="s">
        <v>19</v>
      </c>
      <c r="D37" s="2" t="s">
        <v>109</v>
      </c>
      <c r="E37" s="2" t="s">
        <v>110</v>
      </c>
      <c r="F37" s="2" t="s">
        <v>111</v>
      </c>
      <c r="G37" s="2" t="s">
        <v>44</v>
      </c>
      <c r="H37" s="2" t="s">
        <v>24</v>
      </c>
      <c r="I37" s="6">
        <v>11.49</v>
      </c>
      <c r="J37" s="6">
        <v>1223785</v>
      </c>
      <c r="K37" s="6">
        <v>1180</v>
      </c>
      <c r="L37" s="6">
        <v>0</v>
      </c>
      <c r="M37" s="6">
        <v>0</v>
      </c>
      <c r="N37" s="6">
        <v>50</v>
      </c>
      <c r="O37" s="6">
        <v>1225015</v>
      </c>
      <c r="P37" s="2" t="s">
        <v>25</v>
      </c>
      <c r="Q37" s="2" t="s">
        <v>32</v>
      </c>
      <c r="R37" s="2" t="s">
        <v>27</v>
      </c>
      <c r="S37" s="5">
        <v>1</v>
      </c>
      <c r="T37" s="1">
        <v>0</v>
      </c>
      <c r="U37" s="2">
        <f t="shared" si="10"/>
        <v>1</v>
      </c>
      <c r="V37" s="1">
        <v>0</v>
      </c>
      <c r="W37" s="2">
        <f t="shared" si="9"/>
        <v>1</v>
      </c>
      <c r="X37" s="8">
        <f t="shared" si="1"/>
        <v>100</v>
      </c>
    </row>
    <row r="38" spans="1:24" ht="15" customHeight="1">
      <c r="A38" s="9">
        <v>46054</v>
      </c>
      <c r="B38" s="2" t="s">
        <v>18</v>
      </c>
      <c r="C38" s="2" t="s">
        <v>112</v>
      </c>
      <c r="D38" s="2" t="s">
        <v>1696</v>
      </c>
      <c r="E38" s="2" t="s">
        <v>1697</v>
      </c>
      <c r="F38" s="2" t="s">
        <v>1698</v>
      </c>
      <c r="G38" s="2" t="s">
        <v>49</v>
      </c>
      <c r="H38" s="2" t="s">
        <v>24</v>
      </c>
      <c r="I38" s="6">
        <v>1</v>
      </c>
      <c r="J38" s="6">
        <v>44473</v>
      </c>
      <c r="K38" s="6">
        <v>1234</v>
      </c>
      <c r="L38" s="6">
        <v>0</v>
      </c>
      <c r="M38" s="6">
        <v>0</v>
      </c>
      <c r="N38" s="6">
        <v>110</v>
      </c>
      <c r="O38" s="6">
        <v>45817</v>
      </c>
      <c r="P38" s="2" t="s">
        <v>1246</v>
      </c>
      <c r="Q38" s="2" t="s">
        <v>32</v>
      </c>
      <c r="R38" s="2" t="s">
        <v>1247</v>
      </c>
      <c r="S38" s="5">
        <v>1</v>
      </c>
      <c r="T38" s="1">
        <v>0</v>
      </c>
      <c r="U38" s="2">
        <f t="shared" si="10"/>
        <v>1</v>
      </c>
      <c r="V38" s="1">
        <v>0</v>
      </c>
      <c r="W38" s="2">
        <f t="shared" si="9"/>
        <v>1</v>
      </c>
      <c r="X38" s="8">
        <f t="shared" si="1"/>
        <v>100</v>
      </c>
    </row>
    <row r="39" spans="1:24" ht="15" customHeight="1">
      <c r="A39" s="9">
        <v>46054</v>
      </c>
      <c r="B39" s="2" t="s">
        <v>18</v>
      </c>
      <c r="C39" s="2" t="s">
        <v>112</v>
      </c>
      <c r="D39" s="2" t="s">
        <v>113</v>
      </c>
      <c r="E39" s="2" t="s">
        <v>114</v>
      </c>
      <c r="F39" s="2" t="s">
        <v>115</v>
      </c>
      <c r="G39" s="2" t="s">
        <v>65</v>
      </c>
      <c r="H39" s="2" t="s">
        <v>24</v>
      </c>
      <c r="I39" s="6">
        <v>5.4</v>
      </c>
      <c r="J39" s="6">
        <v>1512</v>
      </c>
      <c r="K39" s="6">
        <v>1234</v>
      </c>
      <c r="L39" s="6">
        <v>1506</v>
      </c>
      <c r="M39" s="6">
        <v>0</v>
      </c>
      <c r="N39" s="6">
        <v>0</v>
      </c>
      <c r="O39" s="6">
        <v>1240</v>
      </c>
      <c r="P39" s="2" t="s">
        <v>40</v>
      </c>
      <c r="Q39" s="2" t="s">
        <v>32</v>
      </c>
      <c r="R39" s="2" t="s">
        <v>33</v>
      </c>
      <c r="S39" s="5">
        <v>1</v>
      </c>
      <c r="T39" s="1">
        <v>0</v>
      </c>
      <c r="U39" s="2">
        <f t="shared" si="10"/>
        <v>1</v>
      </c>
      <c r="V39" s="1">
        <v>0</v>
      </c>
      <c r="W39" s="2">
        <f t="shared" si="9"/>
        <v>1</v>
      </c>
      <c r="X39" s="8">
        <f t="shared" si="1"/>
        <v>100</v>
      </c>
    </row>
    <row r="40" spans="1:24" ht="15" customHeight="1">
      <c r="A40" s="9">
        <v>46054</v>
      </c>
      <c r="B40" s="2" t="s">
        <v>45</v>
      </c>
      <c r="C40" s="2" t="s">
        <v>112</v>
      </c>
      <c r="D40" s="2" t="s">
        <v>116</v>
      </c>
      <c r="E40" s="2" t="s">
        <v>117</v>
      </c>
      <c r="F40" s="2" t="s">
        <v>118</v>
      </c>
      <c r="G40" s="2" t="s">
        <v>65</v>
      </c>
      <c r="H40" s="2" t="s">
        <v>24</v>
      </c>
      <c r="I40" s="6">
        <v>29.84</v>
      </c>
      <c r="J40" s="6">
        <v>9732</v>
      </c>
      <c r="K40" s="6">
        <v>428364</v>
      </c>
      <c r="L40" s="6">
        <v>438096</v>
      </c>
      <c r="M40" s="6">
        <v>0</v>
      </c>
      <c r="N40" s="6">
        <v>0</v>
      </c>
      <c r="O40" s="6">
        <v>0</v>
      </c>
      <c r="P40" s="2" t="s">
        <v>25</v>
      </c>
      <c r="Q40" s="2" t="s">
        <v>32</v>
      </c>
      <c r="R40" s="2" t="s">
        <v>50</v>
      </c>
      <c r="S40" s="5">
        <v>1</v>
      </c>
      <c r="T40" s="1">
        <v>0</v>
      </c>
      <c r="U40" s="2">
        <f t="shared" si="10"/>
        <v>1</v>
      </c>
      <c r="V40" s="1">
        <v>0</v>
      </c>
      <c r="W40" s="2">
        <f t="shared" si="9"/>
        <v>1</v>
      </c>
      <c r="X40" s="8">
        <f t="shared" si="1"/>
        <v>100</v>
      </c>
    </row>
    <row r="41" spans="1:24" ht="15" customHeight="1">
      <c r="A41" s="9">
        <v>46054</v>
      </c>
      <c r="B41" s="2" t="s">
        <v>45</v>
      </c>
      <c r="C41" s="2" t="s">
        <v>112</v>
      </c>
      <c r="D41" s="2" t="s">
        <v>1548</v>
      </c>
      <c r="E41" s="2" t="s">
        <v>1402</v>
      </c>
      <c r="F41" s="2" t="s">
        <v>1549</v>
      </c>
      <c r="G41" s="2" t="s">
        <v>1550</v>
      </c>
      <c r="H41" s="2" t="s">
        <v>24</v>
      </c>
      <c r="I41" s="6">
        <v>22.38</v>
      </c>
      <c r="J41" s="6">
        <v>30838</v>
      </c>
      <c r="K41" s="6">
        <v>445820</v>
      </c>
      <c r="L41" s="6">
        <v>477641</v>
      </c>
      <c r="M41" s="6">
        <v>0</v>
      </c>
      <c r="N41" s="6">
        <v>19527</v>
      </c>
      <c r="O41" s="6">
        <v>18544</v>
      </c>
      <c r="P41" s="2" t="s">
        <v>25</v>
      </c>
      <c r="Q41" s="2" t="s">
        <v>32</v>
      </c>
      <c r="R41" s="2" t="s">
        <v>50</v>
      </c>
      <c r="S41" s="5">
        <v>1</v>
      </c>
      <c r="T41" s="1">
        <v>0</v>
      </c>
      <c r="U41" s="2">
        <f t="shared" si="10"/>
        <v>1</v>
      </c>
      <c r="V41" s="1">
        <v>0</v>
      </c>
      <c r="W41" s="2">
        <f t="shared" si="9"/>
        <v>1</v>
      </c>
      <c r="X41" s="8">
        <f t="shared" si="1"/>
        <v>100</v>
      </c>
    </row>
    <row r="42" spans="1:24" ht="15" customHeight="1">
      <c r="A42" s="9">
        <v>46054</v>
      </c>
      <c r="B42" s="2" t="s">
        <v>45</v>
      </c>
      <c r="C42" s="2" t="s">
        <v>112</v>
      </c>
      <c r="D42" s="2" t="s">
        <v>119</v>
      </c>
      <c r="E42" s="2" t="s">
        <v>117</v>
      </c>
      <c r="F42" s="2" t="s">
        <v>120</v>
      </c>
      <c r="G42" s="2" t="s">
        <v>23</v>
      </c>
      <c r="H42" s="2" t="s">
        <v>24</v>
      </c>
      <c r="I42" s="6">
        <v>45</v>
      </c>
      <c r="J42" s="6">
        <v>10752</v>
      </c>
      <c r="K42" s="6">
        <v>255538</v>
      </c>
      <c r="L42" s="6">
        <v>266290</v>
      </c>
      <c r="M42" s="6">
        <v>0</v>
      </c>
      <c r="N42" s="6">
        <v>0</v>
      </c>
      <c r="O42" s="6">
        <v>0</v>
      </c>
      <c r="P42" s="2" t="s">
        <v>25</v>
      </c>
      <c r="Q42" s="2" t="s">
        <v>32</v>
      </c>
      <c r="R42" s="2" t="s">
        <v>50</v>
      </c>
      <c r="S42" s="5">
        <v>1</v>
      </c>
      <c r="T42" s="1">
        <v>0</v>
      </c>
      <c r="U42" s="2">
        <f t="shared" si="10"/>
        <v>1</v>
      </c>
      <c r="V42" s="1">
        <v>0</v>
      </c>
      <c r="W42" s="2">
        <f t="shared" si="9"/>
        <v>1</v>
      </c>
      <c r="X42" s="8">
        <f t="shared" si="1"/>
        <v>100</v>
      </c>
    </row>
    <row r="43" spans="1:24" ht="15" customHeight="1">
      <c r="A43" s="9">
        <v>46054</v>
      </c>
      <c r="B43" s="2" t="s">
        <v>45</v>
      </c>
      <c r="C43" s="2" t="s">
        <v>112</v>
      </c>
      <c r="D43" s="2" t="s">
        <v>121</v>
      </c>
      <c r="E43" s="2" t="s">
        <v>122</v>
      </c>
      <c r="F43" s="2" t="s">
        <v>123</v>
      </c>
      <c r="G43" s="2" t="s">
        <v>65</v>
      </c>
      <c r="H43" s="2" t="s">
        <v>24</v>
      </c>
      <c r="I43" s="6">
        <v>29.84</v>
      </c>
      <c r="J43" s="6">
        <v>17762</v>
      </c>
      <c r="K43" s="6">
        <v>345520</v>
      </c>
      <c r="L43" s="6">
        <v>363282</v>
      </c>
      <c r="M43" s="6">
        <v>0</v>
      </c>
      <c r="N43" s="6">
        <v>0</v>
      </c>
      <c r="O43" s="6">
        <v>0</v>
      </c>
      <c r="P43" s="2" t="s">
        <v>25</v>
      </c>
      <c r="Q43" s="2" t="s">
        <v>32</v>
      </c>
      <c r="R43" s="2" t="s">
        <v>27</v>
      </c>
      <c r="S43" s="5">
        <v>1</v>
      </c>
      <c r="T43" s="1">
        <v>0</v>
      </c>
      <c r="U43" s="2">
        <f t="shared" si="10"/>
        <v>1</v>
      </c>
      <c r="V43" s="1">
        <v>0</v>
      </c>
      <c r="W43" s="2">
        <f t="shared" si="9"/>
        <v>1</v>
      </c>
      <c r="X43" s="8">
        <f t="shared" si="1"/>
        <v>100</v>
      </c>
    </row>
    <row r="44" spans="1:24" ht="15" customHeight="1">
      <c r="A44" s="9">
        <v>46054</v>
      </c>
      <c r="B44" s="2" t="s">
        <v>45</v>
      </c>
      <c r="C44" s="2" t="s">
        <v>112</v>
      </c>
      <c r="D44" s="2" t="s">
        <v>1632</v>
      </c>
      <c r="E44" s="2" t="s">
        <v>494</v>
      </c>
      <c r="F44" s="2" t="s">
        <v>1633</v>
      </c>
      <c r="G44" s="2" t="s">
        <v>49</v>
      </c>
      <c r="H44" s="2" t="s">
        <v>24</v>
      </c>
      <c r="I44" s="6">
        <v>29.84</v>
      </c>
      <c r="J44" s="6">
        <v>30213</v>
      </c>
      <c r="K44" s="6">
        <v>224431</v>
      </c>
      <c r="L44" s="6">
        <v>255675</v>
      </c>
      <c r="M44" s="6">
        <v>0</v>
      </c>
      <c r="N44" s="6">
        <v>1031</v>
      </c>
      <c r="O44" s="6">
        <v>0</v>
      </c>
      <c r="P44" s="2" t="s">
        <v>25</v>
      </c>
      <c r="Q44" s="2" t="s">
        <v>32</v>
      </c>
      <c r="R44" s="2" t="s">
        <v>50</v>
      </c>
      <c r="S44" s="5">
        <v>1</v>
      </c>
      <c r="T44" s="1">
        <v>0</v>
      </c>
      <c r="U44" s="2">
        <f t="shared" si="10"/>
        <v>1</v>
      </c>
      <c r="V44" s="1">
        <v>0</v>
      </c>
      <c r="W44" s="2">
        <f t="shared" si="9"/>
        <v>1</v>
      </c>
      <c r="X44" s="8">
        <f t="shared" si="1"/>
        <v>100</v>
      </c>
    </row>
    <row r="45" spans="1:24" ht="15" customHeight="1">
      <c r="A45" s="9">
        <v>46054</v>
      </c>
      <c r="B45" s="2" t="s">
        <v>45</v>
      </c>
      <c r="C45" s="2" t="s">
        <v>112</v>
      </c>
      <c r="D45" s="2" t="s">
        <v>1743</v>
      </c>
      <c r="E45" s="2" t="s">
        <v>60</v>
      </c>
      <c r="F45" s="2" t="s">
        <v>1744</v>
      </c>
      <c r="G45" s="2" t="s">
        <v>1745</v>
      </c>
      <c r="H45" s="2" t="s">
        <v>24</v>
      </c>
      <c r="I45" s="6">
        <v>29.84</v>
      </c>
      <c r="J45" s="6">
        <v>2510</v>
      </c>
      <c r="K45" s="6">
        <v>1180</v>
      </c>
      <c r="L45" s="6">
        <v>0</v>
      </c>
      <c r="M45" s="6">
        <v>0</v>
      </c>
      <c r="N45" s="6">
        <v>150</v>
      </c>
      <c r="O45" s="6">
        <v>3840</v>
      </c>
      <c r="P45" s="2" t="s">
        <v>25</v>
      </c>
      <c r="Q45" s="2" t="s">
        <v>32</v>
      </c>
      <c r="R45" s="2" t="s">
        <v>50</v>
      </c>
      <c r="S45" s="5">
        <v>1</v>
      </c>
      <c r="T45" s="1">
        <v>0</v>
      </c>
      <c r="U45" s="2">
        <f t="shared" si="10"/>
        <v>1</v>
      </c>
      <c r="V45" s="1">
        <v>0</v>
      </c>
      <c r="W45" s="2">
        <f t="shared" si="9"/>
        <v>1</v>
      </c>
      <c r="X45" s="8">
        <f t="shared" si="1"/>
        <v>100</v>
      </c>
    </row>
    <row r="46" spans="1:24" ht="15" customHeight="1">
      <c r="A46" s="9">
        <v>46054</v>
      </c>
      <c r="B46" s="2" t="s">
        <v>45</v>
      </c>
      <c r="C46" s="2" t="s">
        <v>112</v>
      </c>
      <c r="D46" s="2" t="s">
        <v>124</v>
      </c>
      <c r="E46" s="2" t="s">
        <v>88</v>
      </c>
      <c r="F46" s="2" t="s">
        <v>125</v>
      </c>
      <c r="G46" s="2"/>
      <c r="H46" s="2" t="s">
        <v>24</v>
      </c>
      <c r="I46" s="6">
        <v>45</v>
      </c>
      <c r="J46" s="6">
        <v>50</v>
      </c>
      <c r="K46" s="6">
        <v>1180</v>
      </c>
      <c r="L46" s="6">
        <v>1230</v>
      </c>
      <c r="M46" s="6">
        <v>0</v>
      </c>
      <c r="N46" s="6">
        <v>50</v>
      </c>
      <c r="O46" s="6">
        <v>50</v>
      </c>
      <c r="P46" s="2" t="s">
        <v>25</v>
      </c>
      <c r="Q46" s="2" t="s">
        <v>32</v>
      </c>
      <c r="R46" s="2" t="s">
        <v>126</v>
      </c>
      <c r="S46" s="5">
        <v>1</v>
      </c>
      <c r="T46" s="1">
        <v>0</v>
      </c>
      <c r="U46" s="2">
        <f t="shared" si="10"/>
        <v>1</v>
      </c>
      <c r="V46" s="1">
        <v>0</v>
      </c>
      <c r="W46" s="2">
        <f t="shared" si="9"/>
        <v>1</v>
      </c>
      <c r="X46" s="8">
        <f t="shared" si="1"/>
        <v>100</v>
      </c>
    </row>
    <row r="47" spans="1:24" ht="15" customHeight="1">
      <c r="A47" s="9">
        <v>46054</v>
      </c>
      <c r="B47" s="2" t="s">
        <v>45</v>
      </c>
      <c r="C47" s="2" t="s">
        <v>112</v>
      </c>
      <c r="D47" s="2" t="s">
        <v>1551</v>
      </c>
      <c r="E47" s="2" t="s">
        <v>1402</v>
      </c>
      <c r="F47" s="2" t="s">
        <v>1552</v>
      </c>
      <c r="G47" s="2" t="s">
        <v>49</v>
      </c>
      <c r="H47" s="2" t="s">
        <v>24</v>
      </c>
      <c r="I47" s="6">
        <v>29.84</v>
      </c>
      <c r="J47" s="6">
        <v>2304744</v>
      </c>
      <c r="K47" s="6">
        <v>198119</v>
      </c>
      <c r="L47" s="6">
        <v>250000</v>
      </c>
      <c r="M47" s="6">
        <v>0</v>
      </c>
      <c r="N47" s="6">
        <v>61749</v>
      </c>
      <c r="O47" s="6">
        <v>2314612</v>
      </c>
      <c r="P47" s="2" t="s">
        <v>25</v>
      </c>
      <c r="Q47" s="2" t="s">
        <v>32</v>
      </c>
      <c r="R47" s="2" t="s">
        <v>50</v>
      </c>
      <c r="S47" s="5">
        <v>1</v>
      </c>
      <c r="T47" s="1">
        <v>0</v>
      </c>
      <c r="U47" s="2">
        <f t="shared" si="10"/>
        <v>1</v>
      </c>
      <c r="V47" s="1">
        <v>0</v>
      </c>
      <c r="W47" s="2">
        <f t="shared" si="9"/>
        <v>1</v>
      </c>
      <c r="X47" s="8">
        <f t="shared" si="1"/>
        <v>100</v>
      </c>
    </row>
    <row r="48" spans="1:24" ht="15" customHeight="1">
      <c r="A48" s="9">
        <v>46054</v>
      </c>
      <c r="B48" s="2" t="s">
        <v>45</v>
      </c>
      <c r="C48" s="2" t="s">
        <v>112</v>
      </c>
      <c r="D48" s="2" t="s">
        <v>127</v>
      </c>
      <c r="E48" s="2" t="s">
        <v>128</v>
      </c>
      <c r="F48" s="2" t="s">
        <v>129</v>
      </c>
      <c r="G48" s="2" t="s">
        <v>130</v>
      </c>
      <c r="H48" s="2" t="s">
        <v>24</v>
      </c>
      <c r="I48" s="6">
        <v>59.98</v>
      </c>
      <c r="J48" s="6">
        <v>16901</v>
      </c>
      <c r="K48" s="6">
        <v>79171</v>
      </c>
      <c r="L48" s="6">
        <v>96072</v>
      </c>
      <c r="M48" s="6">
        <v>0</v>
      </c>
      <c r="N48" s="6">
        <v>0</v>
      </c>
      <c r="O48" s="6">
        <v>0</v>
      </c>
      <c r="P48" s="2" t="s">
        <v>25</v>
      </c>
      <c r="Q48" s="2" t="s">
        <v>32</v>
      </c>
      <c r="R48" s="2" t="s">
        <v>50</v>
      </c>
      <c r="S48" s="5">
        <v>1</v>
      </c>
      <c r="T48" s="1">
        <v>0</v>
      </c>
      <c r="U48" s="2">
        <f t="shared" si="10"/>
        <v>1</v>
      </c>
      <c r="V48" s="1">
        <v>0</v>
      </c>
      <c r="W48" s="2">
        <f t="shared" si="9"/>
        <v>1</v>
      </c>
      <c r="X48" s="8">
        <f t="shared" si="1"/>
        <v>100</v>
      </c>
    </row>
    <row r="49" spans="1:24" ht="15" customHeight="1">
      <c r="A49" s="9">
        <v>46054</v>
      </c>
      <c r="B49" s="2" t="s">
        <v>45</v>
      </c>
      <c r="C49" s="2" t="s">
        <v>112</v>
      </c>
      <c r="D49" s="2" t="s">
        <v>131</v>
      </c>
      <c r="E49" s="2" t="s">
        <v>132</v>
      </c>
      <c r="F49" s="2" t="s">
        <v>133</v>
      </c>
      <c r="G49" s="2" t="s">
        <v>134</v>
      </c>
      <c r="H49" s="2" t="s">
        <v>24</v>
      </c>
      <c r="I49" s="6">
        <v>29.84</v>
      </c>
      <c r="J49" s="6">
        <v>4194</v>
      </c>
      <c r="K49" s="6">
        <v>1187</v>
      </c>
      <c r="L49" s="6">
        <v>5381</v>
      </c>
      <c r="M49" s="6">
        <v>0</v>
      </c>
      <c r="N49" s="6">
        <v>0</v>
      </c>
      <c r="O49" s="6">
        <v>0</v>
      </c>
      <c r="P49" s="2" t="s">
        <v>25</v>
      </c>
      <c r="Q49" s="2" t="s">
        <v>32</v>
      </c>
      <c r="R49" s="2" t="s">
        <v>66</v>
      </c>
      <c r="S49" s="5">
        <v>1</v>
      </c>
      <c r="T49" s="1">
        <v>0</v>
      </c>
      <c r="U49" s="2">
        <f t="shared" si="10"/>
        <v>1</v>
      </c>
      <c r="V49" s="1">
        <v>0</v>
      </c>
      <c r="W49" s="2">
        <f t="shared" si="9"/>
        <v>1</v>
      </c>
      <c r="X49" s="8">
        <f t="shared" si="1"/>
        <v>100</v>
      </c>
    </row>
    <row r="50" spans="1:24" ht="15" customHeight="1">
      <c r="A50" s="9">
        <v>46054</v>
      </c>
      <c r="B50" s="2" t="s">
        <v>45</v>
      </c>
      <c r="C50" s="2" t="s">
        <v>112</v>
      </c>
      <c r="D50" s="2" t="s">
        <v>135</v>
      </c>
      <c r="E50" s="2" t="s">
        <v>68</v>
      </c>
      <c r="F50" s="2" t="s">
        <v>136</v>
      </c>
      <c r="G50" s="2"/>
      <c r="H50" s="2" t="s">
        <v>24</v>
      </c>
      <c r="I50" s="6">
        <v>45</v>
      </c>
      <c r="J50" s="6">
        <v>11435</v>
      </c>
      <c r="K50" s="6">
        <v>137329</v>
      </c>
      <c r="L50" s="6">
        <v>142858</v>
      </c>
      <c r="M50" s="6">
        <v>0</v>
      </c>
      <c r="N50" s="6">
        <v>0</v>
      </c>
      <c r="O50" s="6">
        <v>5906</v>
      </c>
      <c r="P50" s="2" t="s">
        <v>25</v>
      </c>
      <c r="Q50" s="2" t="s">
        <v>32</v>
      </c>
      <c r="R50" s="2" t="s">
        <v>27</v>
      </c>
      <c r="S50" s="5">
        <v>1</v>
      </c>
      <c r="T50" s="1">
        <v>0</v>
      </c>
      <c r="U50" s="2">
        <f t="shared" si="10"/>
        <v>1</v>
      </c>
      <c r="V50" s="1">
        <v>0</v>
      </c>
      <c r="W50" s="2">
        <f t="shared" si="9"/>
        <v>1</v>
      </c>
      <c r="X50" s="8">
        <f t="shared" si="1"/>
        <v>100</v>
      </c>
    </row>
    <row r="51" spans="1:24" ht="15" customHeight="1">
      <c r="A51" s="9">
        <v>46054</v>
      </c>
      <c r="B51" s="2" t="s">
        <v>45</v>
      </c>
      <c r="C51" s="2" t="s">
        <v>112</v>
      </c>
      <c r="D51" s="2" t="s">
        <v>137</v>
      </c>
      <c r="E51" s="2" t="s">
        <v>138</v>
      </c>
      <c r="F51" s="2" t="s">
        <v>139</v>
      </c>
      <c r="G51" s="2" t="s">
        <v>140</v>
      </c>
      <c r="H51" s="2" t="s">
        <v>24</v>
      </c>
      <c r="I51" s="6">
        <v>52</v>
      </c>
      <c r="J51" s="6">
        <v>1493031</v>
      </c>
      <c r="K51" s="6">
        <v>1180</v>
      </c>
      <c r="L51" s="6">
        <v>0</v>
      </c>
      <c r="M51" s="6">
        <v>0</v>
      </c>
      <c r="N51" s="6">
        <v>150</v>
      </c>
      <c r="O51" s="6">
        <v>1494361</v>
      </c>
      <c r="P51" s="2" t="s">
        <v>31</v>
      </c>
      <c r="Q51" s="2" t="s">
        <v>32</v>
      </c>
      <c r="R51" s="2" t="s">
        <v>33</v>
      </c>
      <c r="S51" s="5">
        <v>1</v>
      </c>
      <c r="T51" s="1">
        <v>0</v>
      </c>
      <c r="U51" s="2">
        <f t="shared" si="10"/>
        <v>1</v>
      </c>
      <c r="V51" s="1">
        <v>0</v>
      </c>
      <c r="W51" s="2">
        <f t="shared" si="9"/>
        <v>1</v>
      </c>
      <c r="X51" s="8">
        <f t="shared" si="1"/>
        <v>100</v>
      </c>
    </row>
    <row r="52" spans="1:24" ht="15" customHeight="1">
      <c r="A52" s="9">
        <v>46054</v>
      </c>
      <c r="B52" s="2" t="s">
        <v>45</v>
      </c>
      <c r="C52" s="2" t="s">
        <v>112</v>
      </c>
      <c r="D52" s="2" t="s">
        <v>141</v>
      </c>
      <c r="E52" s="2" t="s">
        <v>142</v>
      </c>
      <c r="F52" s="2" t="s">
        <v>143</v>
      </c>
      <c r="G52" s="2" t="s">
        <v>65</v>
      </c>
      <c r="H52" s="2" t="s">
        <v>24</v>
      </c>
      <c r="I52" s="6">
        <v>45</v>
      </c>
      <c r="J52" s="6">
        <v>23420</v>
      </c>
      <c r="K52" s="6">
        <v>628931</v>
      </c>
      <c r="L52" s="6">
        <v>652351</v>
      </c>
      <c r="M52" s="6">
        <v>0</v>
      </c>
      <c r="N52" s="6">
        <v>0</v>
      </c>
      <c r="O52" s="6">
        <v>0</v>
      </c>
      <c r="P52" s="2" t="s">
        <v>25</v>
      </c>
      <c r="Q52" s="2" t="s">
        <v>32</v>
      </c>
      <c r="R52" s="2" t="s">
        <v>27</v>
      </c>
      <c r="S52" s="5">
        <v>1</v>
      </c>
      <c r="T52" s="1">
        <v>0</v>
      </c>
      <c r="U52" s="2">
        <f t="shared" si="10"/>
        <v>1</v>
      </c>
      <c r="V52" s="1">
        <v>0</v>
      </c>
      <c r="W52" s="2">
        <f t="shared" si="9"/>
        <v>1</v>
      </c>
      <c r="X52" s="8">
        <f t="shared" si="1"/>
        <v>100</v>
      </c>
    </row>
    <row r="53" spans="1:24" ht="15" customHeight="1">
      <c r="A53" s="9">
        <v>46054</v>
      </c>
      <c r="B53" s="2" t="s">
        <v>45</v>
      </c>
      <c r="C53" s="2" t="s">
        <v>112</v>
      </c>
      <c r="D53" s="2" t="s">
        <v>144</v>
      </c>
      <c r="E53" s="2" t="s">
        <v>35</v>
      </c>
      <c r="F53" s="2" t="s">
        <v>145</v>
      </c>
      <c r="G53" s="2" t="s">
        <v>146</v>
      </c>
      <c r="H53" s="2" t="s">
        <v>24</v>
      </c>
      <c r="I53" s="6">
        <v>45</v>
      </c>
      <c r="J53" s="6">
        <v>14539</v>
      </c>
      <c r="K53" s="6">
        <v>506116</v>
      </c>
      <c r="L53" s="6">
        <v>520655</v>
      </c>
      <c r="M53" s="6">
        <v>0</v>
      </c>
      <c r="N53" s="6">
        <v>0</v>
      </c>
      <c r="O53" s="6">
        <v>0</v>
      </c>
      <c r="P53" s="2" t="s">
        <v>25</v>
      </c>
      <c r="Q53" s="2" t="s">
        <v>32</v>
      </c>
      <c r="R53" s="2" t="s">
        <v>50</v>
      </c>
      <c r="S53" s="5">
        <v>1</v>
      </c>
      <c r="T53" s="1">
        <v>0</v>
      </c>
      <c r="U53" s="2">
        <f t="shared" si="10"/>
        <v>1</v>
      </c>
      <c r="V53" s="1">
        <v>0</v>
      </c>
      <c r="W53" s="2">
        <f t="shared" si="9"/>
        <v>1</v>
      </c>
      <c r="X53" s="8">
        <f t="shared" si="1"/>
        <v>100</v>
      </c>
    </row>
    <row r="54" spans="1:24" ht="15" customHeight="1">
      <c r="A54" s="9">
        <v>46054</v>
      </c>
      <c r="B54" s="2" t="s">
        <v>45</v>
      </c>
      <c r="C54" s="2" t="s">
        <v>112</v>
      </c>
      <c r="D54" s="2" t="s">
        <v>147</v>
      </c>
      <c r="E54" s="2" t="s">
        <v>148</v>
      </c>
      <c r="F54" s="2" t="s">
        <v>149</v>
      </c>
      <c r="G54" s="2" t="s">
        <v>23</v>
      </c>
      <c r="H54" s="2" t="s">
        <v>24</v>
      </c>
      <c r="I54" s="6">
        <v>35</v>
      </c>
      <c r="J54" s="6">
        <v>25275</v>
      </c>
      <c r="K54" s="6">
        <v>732689</v>
      </c>
      <c r="L54" s="6">
        <v>757964</v>
      </c>
      <c r="M54" s="6">
        <v>0</v>
      </c>
      <c r="N54" s="6">
        <v>0</v>
      </c>
      <c r="O54" s="6">
        <v>0</v>
      </c>
      <c r="P54" s="2" t="s">
        <v>25</v>
      </c>
      <c r="Q54" s="2" t="s">
        <v>32</v>
      </c>
      <c r="R54" s="2" t="s">
        <v>126</v>
      </c>
      <c r="S54" s="5">
        <v>1</v>
      </c>
      <c r="T54" s="1">
        <v>0</v>
      </c>
      <c r="U54" s="2">
        <f t="shared" si="10"/>
        <v>1</v>
      </c>
      <c r="V54" s="1">
        <v>0</v>
      </c>
      <c r="W54" s="2">
        <f t="shared" si="9"/>
        <v>1</v>
      </c>
      <c r="X54" s="8">
        <f t="shared" si="1"/>
        <v>100</v>
      </c>
    </row>
    <row r="55" spans="1:24" ht="15" customHeight="1">
      <c r="A55" s="9">
        <v>46054</v>
      </c>
      <c r="B55" s="2" t="s">
        <v>45</v>
      </c>
      <c r="C55" s="2" t="s">
        <v>112</v>
      </c>
      <c r="D55" s="2" t="s">
        <v>150</v>
      </c>
      <c r="E55" s="2" t="s">
        <v>151</v>
      </c>
      <c r="F55" s="2" t="s">
        <v>152</v>
      </c>
      <c r="G55" s="2" t="s">
        <v>65</v>
      </c>
      <c r="H55" s="2" t="s">
        <v>24</v>
      </c>
      <c r="I55" s="6">
        <v>45</v>
      </c>
      <c r="J55" s="6">
        <v>25122</v>
      </c>
      <c r="K55" s="6">
        <v>591557</v>
      </c>
      <c r="L55" s="6">
        <v>617015</v>
      </c>
      <c r="M55" s="6">
        <v>0</v>
      </c>
      <c r="N55" s="6">
        <v>336</v>
      </c>
      <c r="O55" s="6">
        <v>0</v>
      </c>
      <c r="P55" s="2" t="s">
        <v>25</v>
      </c>
      <c r="Q55" s="2" t="s">
        <v>32</v>
      </c>
      <c r="R55" s="2" t="s">
        <v>27</v>
      </c>
      <c r="S55" s="5">
        <v>1</v>
      </c>
      <c r="T55" s="1">
        <v>0</v>
      </c>
      <c r="U55" s="2">
        <f t="shared" si="10"/>
        <v>1</v>
      </c>
      <c r="V55" s="1">
        <v>0</v>
      </c>
      <c r="W55" s="2">
        <f t="shared" si="9"/>
        <v>1</v>
      </c>
      <c r="X55" s="8">
        <f t="shared" si="1"/>
        <v>100</v>
      </c>
    </row>
    <row r="56" spans="1:24" ht="15" customHeight="1">
      <c r="A56" s="9">
        <v>46054</v>
      </c>
      <c r="B56" s="2" t="s">
        <v>45</v>
      </c>
      <c r="C56" s="2" t="s">
        <v>112</v>
      </c>
      <c r="D56" s="2" t="s">
        <v>1553</v>
      </c>
      <c r="E56" s="2" t="s">
        <v>1402</v>
      </c>
      <c r="F56" s="2" t="s">
        <v>1554</v>
      </c>
      <c r="G56" s="2" t="s">
        <v>49</v>
      </c>
      <c r="H56" s="2" t="s">
        <v>24</v>
      </c>
      <c r="I56" s="6">
        <v>29.84</v>
      </c>
      <c r="J56" s="6">
        <v>3508932</v>
      </c>
      <c r="K56" s="6">
        <v>580635</v>
      </c>
      <c r="L56" s="6">
        <v>625000</v>
      </c>
      <c r="M56" s="6">
        <v>0</v>
      </c>
      <c r="N56" s="6">
        <v>71708</v>
      </c>
      <c r="O56" s="6">
        <v>3536275</v>
      </c>
      <c r="P56" s="2" t="s">
        <v>25</v>
      </c>
      <c r="Q56" s="2" t="s">
        <v>32</v>
      </c>
      <c r="R56" s="2" t="s">
        <v>50</v>
      </c>
      <c r="S56" s="5">
        <v>1</v>
      </c>
      <c r="T56" s="1">
        <v>0</v>
      </c>
      <c r="U56" s="2">
        <f t="shared" si="10"/>
        <v>1</v>
      </c>
      <c r="V56" s="1">
        <v>0</v>
      </c>
      <c r="W56" s="2">
        <f t="shared" si="9"/>
        <v>1</v>
      </c>
      <c r="X56" s="8">
        <f t="shared" si="1"/>
        <v>100</v>
      </c>
    </row>
    <row r="57" spans="1:24" ht="15" customHeight="1">
      <c r="A57" s="9">
        <v>46054</v>
      </c>
      <c r="B57" s="2" t="s">
        <v>45</v>
      </c>
      <c r="C57" s="2" t="s">
        <v>112</v>
      </c>
      <c r="D57" s="2" t="s">
        <v>153</v>
      </c>
      <c r="E57" s="2" t="s">
        <v>154</v>
      </c>
      <c r="F57" s="2" t="s">
        <v>155</v>
      </c>
      <c r="G57" s="2" t="s">
        <v>65</v>
      </c>
      <c r="H57" s="2" t="s">
        <v>24</v>
      </c>
      <c r="I57" s="6">
        <v>31.68</v>
      </c>
      <c r="J57" s="6">
        <v>973</v>
      </c>
      <c r="K57" s="6">
        <v>27081</v>
      </c>
      <c r="L57" s="6">
        <v>28054</v>
      </c>
      <c r="M57" s="6">
        <v>0</v>
      </c>
      <c r="N57" s="6">
        <v>0</v>
      </c>
      <c r="O57" s="6">
        <v>0</v>
      </c>
      <c r="P57" s="2" t="s">
        <v>25</v>
      </c>
      <c r="Q57" s="2" t="s">
        <v>32</v>
      </c>
      <c r="R57" s="2" t="s">
        <v>27</v>
      </c>
      <c r="S57" s="5">
        <v>1</v>
      </c>
      <c r="T57" s="1">
        <v>0</v>
      </c>
      <c r="U57" s="2">
        <f t="shared" si="10"/>
        <v>1</v>
      </c>
      <c r="V57" s="1">
        <v>0</v>
      </c>
      <c r="W57" s="2">
        <f t="shared" si="9"/>
        <v>1</v>
      </c>
      <c r="X57" s="8">
        <f t="shared" si="1"/>
        <v>100</v>
      </c>
    </row>
    <row r="58" spans="1:24" ht="15" customHeight="1">
      <c r="A58" s="9">
        <v>46054</v>
      </c>
      <c r="B58" s="2" t="s">
        <v>45</v>
      </c>
      <c r="C58" s="2" t="s">
        <v>112</v>
      </c>
      <c r="D58" s="2" t="s">
        <v>156</v>
      </c>
      <c r="E58" s="2" t="s">
        <v>157</v>
      </c>
      <c r="F58" s="2" t="s">
        <v>158</v>
      </c>
      <c r="G58" s="2" t="s">
        <v>159</v>
      </c>
      <c r="H58" s="2" t="s">
        <v>24</v>
      </c>
      <c r="I58" s="6">
        <v>40</v>
      </c>
      <c r="J58" s="6">
        <v>9502</v>
      </c>
      <c r="K58" s="6">
        <v>274909</v>
      </c>
      <c r="L58" s="6">
        <v>284411</v>
      </c>
      <c r="M58" s="6">
        <v>0</v>
      </c>
      <c r="N58" s="6">
        <v>0</v>
      </c>
      <c r="O58" s="6">
        <v>0</v>
      </c>
      <c r="P58" s="2" t="s">
        <v>25</v>
      </c>
      <c r="Q58" s="2" t="s">
        <v>32</v>
      </c>
      <c r="R58" s="2" t="s">
        <v>126</v>
      </c>
      <c r="S58" s="5">
        <v>1</v>
      </c>
      <c r="T58" s="1">
        <v>0</v>
      </c>
      <c r="U58" s="2">
        <f t="shared" si="10"/>
        <v>1</v>
      </c>
      <c r="V58" s="1">
        <v>0</v>
      </c>
      <c r="W58" s="2">
        <f t="shared" si="9"/>
        <v>1</v>
      </c>
      <c r="X58" s="8">
        <f t="shared" si="1"/>
        <v>100</v>
      </c>
    </row>
    <row r="59" spans="1:24" ht="15" customHeight="1">
      <c r="A59" s="9">
        <v>46054</v>
      </c>
      <c r="B59" s="2" t="s">
        <v>45</v>
      </c>
      <c r="C59" s="2" t="s">
        <v>112</v>
      </c>
      <c r="D59" s="2" t="s">
        <v>160</v>
      </c>
      <c r="E59" s="2" t="s">
        <v>161</v>
      </c>
      <c r="F59" s="2" t="s">
        <v>162</v>
      </c>
      <c r="G59" s="2" t="s">
        <v>65</v>
      </c>
      <c r="H59" s="2" t="s">
        <v>24</v>
      </c>
      <c r="I59" s="6">
        <v>19</v>
      </c>
      <c r="J59" s="6">
        <v>50</v>
      </c>
      <c r="K59" s="6">
        <v>1180</v>
      </c>
      <c r="L59" s="6">
        <v>1230</v>
      </c>
      <c r="M59" s="6">
        <v>0</v>
      </c>
      <c r="N59" s="6">
        <v>50</v>
      </c>
      <c r="O59" s="6">
        <v>50</v>
      </c>
      <c r="P59" s="2" t="s">
        <v>25</v>
      </c>
      <c r="Q59" s="2" t="s">
        <v>32</v>
      </c>
      <c r="R59" s="2" t="s">
        <v>27</v>
      </c>
      <c r="S59" s="5">
        <v>1</v>
      </c>
      <c r="T59" s="1">
        <v>0</v>
      </c>
      <c r="U59" s="2">
        <f t="shared" si="10"/>
        <v>1</v>
      </c>
      <c r="V59" s="1">
        <v>0</v>
      </c>
      <c r="W59" s="2">
        <f t="shared" si="9"/>
        <v>1</v>
      </c>
      <c r="X59" s="8">
        <f t="shared" si="1"/>
        <v>100</v>
      </c>
    </row>
    <row r="60" spans="1:24" ht="15" customHeight="1">
      <c r="A60" s="9">
        <v>46054</v>
      </c>
      <c r="B60" s="2" t="s">
        <v>45</v>
      </c>
      <c r="C60" s="2" t="s">
        <v>112</v>
      </c>
      <c r="D60" s="2" t="s">
        <v>163</v>
      </c>
      <c r="E60" s="2" t="s">
        <v>88</v>
      </c>
      <c r="F60" s="2" t="s">
        <v>164</v>
      </c>
      <c r="G60" s="2"/>
      <c r="H60" s="2" t="s">
        <v>24</v>
      </c>
      <c r="I60" s="6">
        <v>35</v>
      </c>
      <c r="J60" s="6">
        <v>8143</v>
      </c>
      <c r="K60" s="6">
        <v>82822</v>
      </c>
      <c r="L60" s="6">
        <v>84270</v>
      </c>
      <c r="M60" s="6">
        <v>0</v>
      </c>
      <c r="N60" s="6">
        <v>0</v>
      </c>
      <c r="O60" s="6">
        <v>6695</v>
      </c>
      <c r="P60" s="2" t="s">
        <v>25</v>
      </c>
      <c r="Q60" s="2" t="s">
        <v>32</v>
      </c>
      <c r="R60" s="2" t="s">
        <v>27</v>
      </c>
      <c r="S60" s="5">
        <v>1</v>
      </c>
      <c r="T60" s="1">
        <v>0</v>
      </c>
      <c r="U60" s="2">
        <f t="shared" si="10"/>
        <v>1</v>
      </c>
      <c r="V60" s="1">
        <v>0</v>
      </c>
      <c r="W60" s="2">
        <f t="shared" si="9"/>
        <v>1</v>
      </c>
      <c r="X60" s="8">
        <f t="shared" si="1"/>
        <v>100</v>
      </c>
    </row>
    <row r="61" spans="1:24" ht="15" customHeight="1">
      <c r="A61" s="9">
        <v>46054</v>
      </c>
      <c r="B61" s="2" t="s">
        <v>45</v>
      </c>
      <c r="C61" s="2" t="s">
        <v>112</v>
      </c>
      <c r="D61" s="2" t="s">
        <v>165</v>
      </c>
      <c r="E61" s="2" t="s">
        <v>166</v>
      </c>
      <c r="F61" s="2" t="s">
        <v>167</v>
      </c>
      <c r="G61" s="2" t="s">
        <v>168</v>
      </c>
      <c r="H61" s="2" t="s">
        <v>24</v>
      </c>
      <c r="I61" s="6">
        <v>30</v>
      </c>
      <c r="J61" s="6">
        <v>50</v>
      </c>
      <c r="K61" s="6">
        <v>1180</v>
      </c>
      <c r="L61" s="6">
        <v>1230</v>
      </c>
      <c r="M61" s="6">
        <v>0</v>
      </c>
      <c r="N61" s="6">
        <v>0</v>
      </c>
      <c r="O61" s="6">
        <v>0</v>
      </c>
      <c r="P61" s="2" t="s">
        <v>25</v>
      </c>
      <c r="Q61" s="2" t="s">
        <v>32</v>
      </c>
      <c r="R61" s="2" t="s">
        <v>126</v>
      </c>
      <c r="S61" s="5">
        <v>1</v>
      </c>
      <c r="T61" s="1">
        <v>0</v>
      </c>
      <c r="U61" s="2">
        <f t="shared" ref="U61:U63" si="11">T61+S61</f>
        <v>1</v>
      </c>
      <c r="V61" s="1">
        <v>0</v>
      </c>
      <c r="W61" s="2">
        <f>V61+U61</f>
        <v>1</v>
      </c>
      <c r="X61" s="8">
        <v>100</v>
      </c>
    </row>
    <row r="62" spans="1:24" ht="15" customHeight="1">
      <c r="A62" s="9">
        <v>46054</v>
      </c>
      <c r="B62" s="2" t="s">
        <v>45</v>
      </c>
      <c r="C62" s="2" t="s">
        <v>112</v>
      </c>
      <c r="D62" s="2" t="s">
        <v>169</v>
      </c>
      <c r="E62" s="2" t="s">
        <v>170</v>
      </c>
      <c r="F62" s="2" t="s">
        <v>171</v>
      </c>
      <c r="G62" s="2" t="s">
        <v>65</v>
      </c>
      <c r="H62" s="2" t="s">
        <v>24</v>
      </c>
      <c r="I62" s="6">
        <v>29.84</v>
      </c>
      <c r="J62" s="6">
        <v>85270</v>
      </c>
      <c r="K62" s="6">
        <v>849499</v>
      </c>
      <c r="L62" s="6">
        <v>937624</v>
      </c>
      <c r="M62" s="6">
        <v>0</v>
      </c>
      <c r="N62" s="6">
        <v>2855</v>
      </c>
      <c r="O62" s="6">
        <v>0</v>
      </c>
      <c r="P62" s="2" t="s">
        <v>25</v>
      </c>
      <c r="Q62" s="2" t="s">
        <v>32</v>
      </c>
      <c r="R62" s="2" t="s">
        <v>126</v>
      </c>
      <c r="S62" s="5">
        <v>1</v>
      </c>
      <c r="T62" s="1">
        <v>0</v>
      </c>
      <c r="U62" s="2">
        <f t="shared" si="11"/>
        <v>1</v>
      </c>
      <c r="V62" s="1">
        <v>0</v>
      </c>
      <c r="W62" s="2">
        <f>V62+U62</f>
        <v>1</v>
      </c>
      <c r="X62" s="8">
        <f t="shared" si="1"/>
        <v>100</v>
      </c>
    </row>
    <row r="63" spans="1:24" ht="15" customHeight="1">
      <c r="A63" s="9">
        <v>46054</v>
      </c>
      <c r="B63" s="2" t="s">
        <v>45</v>
      </c>
      <c r="C63" s="2" t="s">
        <v>112</v>
      </c>
      <c r="D63" s="2" t="s">
        <v>172</v>
      </c>
      <c r="E63" s="2" t="s">
        <v>151</v>
      </c>
      <c r="F63" s="2"/>
      <c r="G63" s="2" t="s">
        <v>173</v>
      </c>
      <c r="H63" s="2" t="s">
        <v>24</v>
      </c>
      <c r="I63" s="6">
        <v>22.38</v>
      </c>
      <c r="J63" s="6">
        <v>32645</v>
      </c>
      <c r="K63" s="6">
        <v>371978</v>
      </c>
      <c r="L63" s="6">
        <v>405564</v>
      </c>
      <c r="M63" s="6">
        <v>0</v>
      </c>
      <c r="N63" s="6">
        <v>941</v>
      </c>
      <c r="O63" s="6">
        <v>0</v>
      </c>
      <c r="P63" s="2" t="s">
        <v>25</v>
      </c>
      <c r="Q63" s="2" t="s">
        <v>32</v>
      </c>
      <c r="R63" s="2" t="s">
        <v>126</v>
      </c>
      <c r="S63" s="5">
        <v>1</v>
      </c>
      <c r="T63" s="1">
        <v>0</v>
      </c>
      <c r="U63" s="2">
        <f t="shared" si="11"/>
        <v>1</v>
      </c>
      <c r="V63" s="1">
        <v>0</v>
      </c>
      <c r="W63" s="2">
        <f>V63+U63</f>
        <v>1</v>
      </c>
      <c r="X63" s="8">
        <f t="shared" si="1"/>
        <v>100</v>
      </c>
    </row>
    <row r="64" spans="1:24" ht="15" customHeight="1">
      <c r="A64" s="9">
        <v>46054</v>
      </c>
      <c r="B64" s="2" t="s">
        <v>45</v>
      </c>
      <c r="C64" s="2" t="s">
        <v>112</v>
      </c>
      <c r="D64" s="2" t="s">
        <v>174</v>
      </c>
      <c r="E64" s="2" t="s">
        <v>175</v>
      </c>
      <c r="F64" s="2" t="s">
        <v>176</v>
      </c>
      <c r="G64" s="2" t="s">
        <v>177</v>
      </c>
      <c r="H64" s="2" t="s">
        <v>24</v>
      </c>
      <c r="I64" s="6">
        <v>31.68</v>
      </c>
      <c r="J64" s="6">
        <v>1222</v>
      </c>
      <c r="K64" s="6">
        <v>52109</v>
      </c>
      <c r="L64" s="6">
        <v>53331</v>
      </c>
      <c r="M64" s="6">
        <v>0</v>
      </c>
      <c r="N64" s="6">
        <v>0</v>
      </c>
      <c r="O64" s="6">
        <v>0</v>
      </c>
      <c r="P64" s="2" t="s">
        <v>25</v>
      </c>
      <c r="Q64" s="2" t="s">
        <v>32</v>
      </c>
      <c r="R64" s="2" t="s">
        <v>27</v>
      </c>
      <c r="S64" s="5">
        <v>1</v>
      </c>
      <c r="T64" s="1">
        <v>0</v>
      </c>
      <c r="U64" s="2">
        <f>T64+S64</f>
        <v>1</v>
      </c>
      <c r="V64" s="1">
        <v>0</v>
      </c>
      <c r="W64" s="2">
        <f t="shared" ref="W64:W104" si="12">V64+U64</f>
        <v>1</v>
      </c>
      <c r="X64" s="8">
        <f t="shared" si="1"/>
        <v>100</v>
      </c>
    </row>
    <row r="65" spans="1:24">
      <c r="A65" s="9">
        <v>46054</v>
      </c>
      <c r="B65" s="2" t="s">
        <v>45</v>
      </c>
      <c r="C65" s="2" t="s">
        <v>112</v>
      </c>
      <c r="D65" s="2" t="s">
        <v>1410</v>
      </c>
      <c r="E65" s="2" t="s">
        <v>117</v>
      </c>
      <c r="F65" s="2" t="s">
        <v>1411</v>
      </c>
      <c r="G65" s="2" t="s">
        <v>23</v>
      </c>
      <c r="H65" s="2" t="s">
        <v>24</v>
      </c>
      <c r="I65" s="6">
        <v>45</v>
      </c>
      <c r="J65" s="6">
        <v>85257</v>
      </c>
      <c r="K65" s="6">
        <v>592407</v>
      </c>
      <c r="L65" s="6">
        <v>680794</v>
      </c>
      <c r="M65" s="6">
        <v>0</v>
      </c>
      <c r="N65" s="6">
        <v>3130</v>
      </c>
      <c r="O65" s="6">
        <v>0</v>
      </c>
      <c r="P65" s="2" t="s">
        <v>25</v>
      </c>
      <c r="Q65" s="2" t="s">
        <v>32</v>
      </c>
      <c r="R65" s="2" t="s">
        <v>50</v>
      </c>
      <c r="S65" s="5">
        <v>1</v>
      </c>
      <c r="T65" s="1">
        <v>0</v>
      </c>
      <c r="U65" s="2">
        <f>T65+S65</f>
        <v>1</v>
      </c>
      <c r="V65" s="1">
        <v>0</v>
      </c>
      <c r="W65" s="2">
        <f>V65+U65</f>
        <v>1</v>
      </c>
      <c r="X65" s="8">
        <f t="shared" si="1"/>
        <v>100</v>
      </c>
    </row>
    <row r="66" spans="1:24" ht="15" customHeight="1">
      <c r="A66" s="9">
        <v>46054</v>
      </c>
      <c r="B66" s="2" t="s">
        <v>95</v>
      </c>
      <c r="C66" s="2" t="s">
        <v>112</v>
      </c>
      <c r="D66" s="2" t="s">
        <v>178</v>
      </c>
      <c r="E66" s="2" t="s">
        <v>161</v>
      </c>
      <c r="F66" s="2" t="s">
        <v>179</v>
      </c>
      <c r="G66" s="2" t="s">
        <v>65</v>
      </c>
      <c r="H66" s="2" t="s">
        <v>94</v>
      </c>
      <c r="I66" s="6">
        <v>15.96</v>
      </c>
      <c r="J66" s="6">
        <v>-2145</v>
      </c>
      <c r="K66" s="6">
        <v>0</v>
      </c>
      <c r="L66" s="6">
        <v>0</v>
      </c>
      <c r="M66" s="6">
        <v>0</v>
      </c>
      <c r="N66" s="6">
        <v>0</v>
      </c>
      <c r="O66" s="6">
        <v>-2145</v>
      </c>
      <c r="P66" s="2" t="s">
        <v>25</v>
      </c>
      <c r="Q66" s="2" t="s">
        <v>26</v>
      </c>
      <c r="R66" s="2" t="s">
        <v>27</v>
      </c>
      <c r="S66" s="5">
        <v>0</v>
      </c>
      <c r="T66" s="1">
        <v>0</v>
      </c>
      <c r="U66" s="2">
        <f>T66+S66</f>
        <v>0</v>
      </c>
      <c r="V66" s="1">
        <v>1</v>
      </c>
      <c r="W66" s="2">
        <f t="shared" si="12"/>
        <v>1</v>
      </c>
      <c r="X66" s="8" t="e">
        <f t="shared" si="1"/>
        <v>#DIV/0!</v>
      </c>
    </row>
    <row r="67" spans="1:24" ht="15" customHeight="1">
      <c r="A67" s="9">
        <v>46054</v>
      </c>
      <c r="B67" s="2" t="s">
        <v>95</v>
      </c>
      <c r="C67" s="2" t="s">
        <v>112</v>
      </c>
      <c r="D67" s="2" t="s">
        <v>1412</v>
      </c>
      <c r="E67" s="2" t="s">
        <v>1413</v>
      </c>
      <c r="F67" s="2" t="s">
        <v>1414</v>
      </c>
      <c r="G67" s="2" t="s">
        <v>1415</v>
      </c>
      <c r="H67" s="2" t="s">
        <v>24</v>
      </c>
      <c r="I67" s="6">
        <v>22.38</v>
      </c>
      <c r="J67" s="6">
        <v>50</v>
      </c>
      <c r="K67" s="6">
        <v>1180</v>
      </c>
      <c r="L67" s="6">
        <v>1230</v>
      </c>
      <c r="M67" s="6">
        <v>0</v>
      </c>
      <c r="N67" s="6">
        <v>0</v>
      </c>
      <c r="O67" s="6">
        <v>0</v>
      </c>
      <c r="P67" s="2" t="s">
        <v>25</v>
      </c>
      <c r="Q67" s="2" t="s">
        <v>32</v>
      </c>
      <c r="R67" s="2" t="s">
        <v>50</v>
      </c>
      <c r="S67" s="5">
        <v>0</v>
      </c>
      <c r="T67" s="1">
        <v>1</v>
      </c>
      <c r="U67" s="2">
        <f>T67+S67</f>
        <v>1</v>
      </c>
      <c r="V67" s="1">
        <v>0</v>
      </c>
      <c r="W67" s="2">
        <f t="shared" si="12"/>
        <v>1</v>
      </c>
      <c r="X67" s="8">
        <f t="shared" ref="X67:X104" si="13">100/U67*S67</f>
        <v>0</v>
      </c>
    </row>
    <row r="68" spans="1:24" ht="15" customHeight="1">
      <c r="A68" s="9">
        <v>46054</v>
      </c>
      <c r="B68" s="2" t="s">
        <v>18</v>
      </c>
      <c r="C68" s="2" t="s">
        <v>180</v>
      </c>
      <c r="D68" s="2" t="s">
        <v>181</v>
      </c>
      <c r="E68" s="2" t="s">
        <v>166</v>
      </c>
      <c r="F68" s="2" t="s">
        <v>182</v>
      </c>
      <c r="G68" s="2" t="s">
        <v>65</v>
      </c>
      <c r="H68" s="2" t="s">
        <v>24</v>
      </c>
      <c r="I68" s="6">
        <v>7.46</v>
      </c>
      <c r="J68" s="6">
        <v>0</v>
      </c>
      <c r="K68" s="6">
        <v>0</v>
      </c>
      <c r="L68" s="6">
        <v>0</v>
      </c>
      <c r="M68" s="6">
        <v>0</v>
      </c>
      <c r="N68" s="6">
        <v>0</v>
      </c>
      <c r="O68" s="6">
        <v>0</v>
      </c>
      <c r="P68" s="2" t="s">
        <v>25</v>
      </c>
      <c r="Q68" s="2" t="s">
        <v>26</v>
      </c>
      <c r="R68" s="2" t="s">
        <v>27</v>
      </c>
      <c r="S68" s="5">
        <v>0</v>
      </c>
      <c r="T68" s="1">
        <v>0</v>
      </c>
      <c r="U68" s="2">
        <f>T68+S68</f>
        <v>0</v>
      </c>
      <c r="V68" s="1">
        <v>1</v>
      </c>
      <c r="W68" s="2">
        <f t="shared" si="12"/>
        <v>1</v>
      </c>
      <c r="X68" s="8" t="e">
        <f t="shared" si="13"/>
        <v>#DIV/0!</v>
      </c>
    </row>
    <row r="69" spans="1:24" ht="15" customHeight="1">
      <c r="A69" s="9">
        <v>46054</v>
      </c>
      <c r="B69" s="2" t="s">
        <v>18</v>
      </c>
      <c r="C69" s="2" t="s">
        <v>180</v>
      </c>
      <c r="D69" s="2" t="s">
        <v>183</v>
      </c>
      <c r="E69" s="2" t="s">
        <v>138</v>
      </c>
      <c r="F69" s="2" t="s">
        <v>184</v>
      </c>
      <c r="G69" s="2"/>
      <c r="H69" s="2" t="s">
        <v>24</v>
      </c>
      <c r="I69" s="6">
        <v>5</v>
      </c>
      <c r="J69" s="6">
        <v>119427</v>
      </c>
      <c r="K69" s="6">
        <v>47224</v>
      </c>
      <c r="L69" s="6">
        <v>0</v>
      </c>
      <c r="M69" s="6">
        <v>0</v>
      </c>
      <c r="N69" s="6">
        <v>10188</v>
      </c>
      <c r="O69" s="6">
        <v>176839</v>
      </c>
      <c r="P69" s="2" t="s">
        <v>31</v>
      </c>
      <c r="Q69" s="2" t="s">
        <v>32</v>
      </c>
      <c r="R69" s="2" t="s">
        <v>33</v>
      </c>
      <c r="S69" s="5">
        <v>0</v>
      </c>
      <c r="T69" s="1">
        <v>1</v>
      </c>
      <c r="U69" s="2">
        <f t="shared" ref="U69:U104" si="14">T69+S69</f>
        <v>1</v>
      </c>
      <c r="V69" s="1">
        <v>0</v>
      </c>
      <c r="W69" s="2">
        <f t="shared" si="12"/>
        <v>1</v>
      </c>
      <c r="X69" s="8">
        <f t="shared" si="13"/>
        <v>0</v>
      </c>
    </row>
    <row r="70" spans="1:24" ht="15" customHeight="1">
      <c r="A70" s="9">
        <v>46054</v>
      </c>
      <c r="B70" s="2" t="s">
        <v>45</v>
      </c>
      <c r="C70" s="2" t="s">
        <v>180</v>
      </c>
      <c r="D70" s="2" t="s">
        <v>185</v>
      </c>
      <c r="E70" s="2" t="s">
        <v>186</v>
      </c>
      <c r="F70" s="2" t="s">
        <v>187</v>
      </c>
      <c r="G70" s="2" t="s">
        <v>65</v>
      </c>
      <c r="H70" s="2" t="s">
        <v>24</v>
      </c>
      <c r="I70" s="6">
        <v>29.84</v>
      </c>
      <c r="J70" s="6">
        <v>50</v>
      </c>
      <c r="K70" s="6">
        <v>1180</v>
      </c>
      <c r="L70" s="6">
        <v>1230</v>
      </c>
      <c r="M70" s="6">
        <v>0</v>
      </c>
      <c r="N70" s="6">
        <v>0</v>
      </c>
      <c r="O70" s="6">
        <v>0</v>
      </c>
      <c r="P70" s="2" t="s">
        <v>25</v>
      </c>
      <c r="Q70" s="2" t="s">
        <v>32</v>
      </c>
      <c r="R70" s="2" t="s">
        <v>27</v>
      </c>
      <c r="S70" s="5">
        <v>1</v>
      </c>
      <c r="T70" s="1">
        <v>0</v>
      </c>
      <c r="U70" s="2">
        <f t="shared" si="14"/>
        <v>1</v>
      </c>
      <c r="V70" s="1">
        <v>0</v>
      </c>
      <c r="W70" s="2">
        <f t="shared" si="12"/>
        <v>1</v>
      </c>
      <c r="X70" s="8">
        <f t="shared" si="13"/>
        <v>100</v>
      </c>
    </row>
    <row r="71" spans="1:24" ht="15" customHeight="1">
      <c r="A71" s="9">
        <v>46054</v>
      </c>
      <c r="B71" s="2" t="s">
        <v>45</v>
      </c>
      <c r="C71" s="2" t="s">
        <v>180</v>
      </c>
      <c r="D71" s="2" t="s">
        <v>188</v>
      </c>
      <c r="E71" s="2" t="s">
        <v>166</v>
      </c>
      <c r="F71" s="2" t="s">
        <v>189</v>
      </c>
      <c r="G71" s="2" t="s">
        <v>65</v>
      </c>
      <c r="H71" s="2" t="s">
        <v>24</v>
      </c>
      <c r="I71" s="6">
        <v>35</v>
      </c>
      <c r="J71" s="6">
        <v>26537</v>
      </c>
      <c r="K71" s="6">
        <v>494778</v>
      </c>
      <c r="L71" s="6">
        <v>521636</v>
      </c>
      <c r="M71" s="6">
        <v>0</v>
      </c>
      <c r="N71" s="6">
        <v>321</v>
      </c>
      <c r="O71" s="6">
        <v>0</v>
      </c>
      <c r="P71" s="2" t="s">
        <v>25</v>
      </c>
      <c r="Q71" s="2" t="s">
        <v>32</v>
      </c>
      <c r="R71" s="2" t="s">
        <v>126</v>
      </c>
      <c r="S71" s="5">
        <v>1</v>
      </c>
      <c r="T71" s="1">
        <v>0</v>
      </c>
      <c r="U71" s="2">
        <f t="shared" si="14"/>
        <v>1</v>
      </c>
      <c r="V71" s="1">
        <v>0</v>
      </c>
      <c r="W71" s="2">
        <f t="shared" si="12"/>
        <v>1</v>
      </c>
      <c r="X71" s="8">
        <f t="shared" si="13"/>
        <v>100</v>
      </c>
    </row>
    <row r="72" spans="1:24" ht="15" customHeight="1">
      <c r="A72" s="9">
        <v>46054</v>
      </c>
      <c r="B72" s="2" t="s">
        <v>45</v>
      </c>
      <c r="C72" s="2" t="s">
        <v>180</v>
      </c>
      <c r="D72" s="2" t="s">
        <v>190</v>
      </c>
      <c r="E72" s="2" t="s">
        <v>191</v>
      </c>
      <c r="F72" s="2" t="s">
        <v>192</v>
      </c>
      <c r="G72" s="2" t="s">
        <v>193</v>
      </c>
      <c r="H72" s="2" t="s">
        <v>24</v>
      </c>
      <c r="I72" s="6">
        <v>42</v>
      </c>
      <c r="J72" s="6">
        <v>13379</v>
      </c>
      <c r="K72" s="6">
        <v>277720</v>
      </c>
      <c r="L72" s="6">
        <v>291099</v>
      </c>
      <c r="M72" s="6">
        <v>0</v>
      </c>
      <c r="N72" s="6">
        <v>0</v>
      </c>
      <c r="O72" s="6">
        <v>0</v>
      </c>
      <c r="P72" s="2" t="s">
        <v>25</v>
      </c>
      <c r="Q72" s="2" t="s">
        <v>32</v>
      </c>
      <c r="R72" s="2" t="s">
        <v>126</v>
      </c>
      <c r="S72" s="5">
        <v>1</v>
      </c>
      <c r="T72" s="1">
        <v>0</v>
      </c>
      <c r="U72" s="2">
        <f t="shared" si="14"/>
        <v>1</v>
      </c>
      <c r="V72" s="1">
        <v>0</v>
      </c>
      <c r="W72" s="2">
        <f t="shared" si="12"/>
        <v>1</v>
      </c>
      <c r="X72" s="8">
        <f t="shared" si="13"/>
        <v>100</v>
      </c>
    </row>
    <row r="73" spans="1:24" ht="15" customHeight="1">
      <c r="A73" s="9">
        <v>46054</v>
      </c>
      <c r="B73" s="2" t="s">
        <v>45</v>
      </c>
      <c r="C73" s="2" t="s">
        <v>180</v>
      </c>
      <c r="D73" s="2" t="s">
        <v>194</v>
      </c>
      <c r="E73" s="2" t="s">
        <v>195</v>
      </c>
      <c r="F73" s="2" t="s">
        <v>115</v>
      </c>
      <c r="G73" s="2" t="s">
        <v>193</v>
      </c>
      <c r="H73" s="2" t="s">
        <v>24</v>
      </c>
      <c r="I73" s="6">
        <v>37.299999999999997</v>
      </c>
      <c r="J73" s="6">
        <v>73933</v>
      </c>
      <c r="K73" s="6">
        <v>313038</v>
      </c>
      <c r="L73" s="6">
        <v>389502</v>
      </c>
      <c r="M73" s="6">
        <v>0</v>
      </c>
      <c r="N73" s="6">
        <v>2531</v>
      </c>
      <c r="O73" s="6">
        <v>0</v>
      </c>
      <c r="P73" s="2" t="s">
        <v>25</v>
      </c>
      <c r="Q73" s="2" t="s">
        <v>32</v>
      </c>
      <c r="R73" s="2" t="s">
        <v>126</v>
      </c>
      <c r="S73" s="5">
        <v>1</v>
      </c>
      <c r="T73" s="1">
        <v>0</v>
      </c>
      <c r="U73" s="2">
        <f t="shared" si="14"/>
        <v>1</v>
      </c>
      <c r="V73" s="1">
        <v>0</v>
      </c>
      <c r="W73" s="2">
        <f t="shared" si="12"/>
        <v>1</v>
      </c>
      <c r="X73" s="8">
        <f t="shared" si="13"/>
        <v>100</v>
      </c>
    </row>
    <row r="74" spans="1:24" ht="15" customHeight="1">
      <c r="A74" s="9">
        <v>46054</v>
      </c>
      <c r="B74" s="2" t="s">
        <v>45</v>
      </c>
      <c r="C74" s="2" t="s">
        <v>180</v>
      </c>
      <c r="D74" s="2" t="s">
        <v>196</v>
      </c>
      <c r="E74" s="2" t="s">
        <v>197</v>
      </c>
      <c r="F74" s="2" t="s">
        <v>198</v>
      </c>
      <c r="G74" s="2" t="s">
        <v>23</v>
      </c>
      <c r="H74" s="2" t="s">
        <v>24</v>
      </c>
      <c r="I74" s="6">
        <v>29.84</v>
      </c>
      <c r="J74" s="6">
        <v>50</v>
      </c>
      <c r="K74" s="6">
        <v>1234</v>
      </c>
      <c r="L74" s="6">
        <v>1284</v>
      </c>
      <c r="M74" s="6">
        <v>0</v>
      </c>
      <c r="N74" s="6">
        <v>50</v>
      </c>
      <c r="O74" s="6">
        <v>50</v>
      </c>
      <c r="P74" s="2" t="s">
        <v>25</v>
      </c>
      <c r="Q74" s="2" t="s">
        <v>32</v>
      </c>
      <c r="R74" s="2" t="s">
        <v>27</v>
      </c>
      <c r="S74" s="5">
        <v>1</v>
      </c>
      <c r="T74" s="1">
        <v>0</v>
      </c>
      <c r="U74" s="2">
        <f t="shared" si="14"/>
        <v>1</v>
      </c>
      <c r="V74" s="1">
        <v>0</v>
      </c>
      <c r="W74" s="2">
        <f t="shared" si="12"/>
        <v>1</v>
      </c>
      <c r="X74" s="8">
        <f t="shared" si="13"/>
        <v>100</v>
      </c>
    </row>
    <row r="75" spans="1:24" ht="15" customHeight="1">
      <c r="A75" s="9">
        <v>46054</v>
      </c>
      <c r="B75" s="2" t="s">
        <v>45</v>
      </c>
      <c r="C75" s="2" t="s">
        <v>180</v>
      </c>
      <c r="D75" s="2" t="s">
        <v>1675</v>
      </c>
      <c r="E75" s="2" t="s">
        <v>60</v>
      </c>
      <c r="F75" s="2" t="s">
        <v>1676</v>
      </c>
      <c r="G75" s="2" t="s">
        <v>49</v>
      </c>
      <c r="H75" s="2" t="s">
        <v>24</v>
      </c>
      <c r="I75" s="6">
        <v>29.84</v>
      </c>
      <c r="J75" s="6">
        <v>40158</v>
      </c>
      <c r="K75" s="6">
        <v>269389</v>
      </c>
      <c r="L75" s="6">
        <v>310896</v>
      </c>
      <c r="M75" s="6">
        <v>0</v>
      </c>
      <c r="N75" s="6">
        <v>1349</v>
      </c>
      <c r="O75" s="6">
        <v>0</v>
      </c>
      <c r="P75" s="2" t="s">
        <v>25</v>
      </c>
      <c r="Q75" s="2" t="s">
        <v>32</v>
      </c>
      <c r="R75" s="2" t="s">
        <v>50</v>
      </c>
      <c r="S75" s="5">
        <v>1</v>
      </c>
      <c r="T75" s="1">
        <v>0</v>
      </c>
      <c r="U75" s="2">
        <f t="shared" si="14"/>
        <v>1</v>
      </c>
      <c r="V75" s="1">
        <v>0</v>
      </c>
      <c r="W75" s="2">
        <f t="shared" si="12"/>
        <v>1</v>
      </c>
      <c r="X75" s="8">
        <f t="shared" si="13"/>
        <v>100</v>
      </c>
    </row>
    <row r="76" spans="1:24" ht="15" customHeight="1">
      <c r="A76" s="9">
        <v>46054</v>
      </c>
      <c r="B76" s="2" t="s">
        <v>45</v>
      </c>
      <c r="C76" s="2" t="s">
        <v>180</v>
      </c>
      <c r="D76" s="2" t="s">
        <v>1654</v>
      </c>
      <c r="E76" s="2" t="s">
        <v>60</v>
      </c>
      <c r="F76" s="2" t="s">
        <v>1655</v>
      </c>
      <c r="G76" s="2"/>
      <c r="H76" s="2" t="s">
        <v>24</v>
      </c>
      <c r="I76" s="6">
        <v>29.84</v>
      </c>
      <c r="J76" s="6">
        <v>1646</v>
      </c>
      <c r="K76" s="6">
        <v>53650</v>
      </c>
      <c r="L76" s="6">
        <v>55296</v>
      </c>
      <c r="M76" s="6">
        <v>0</v>
      </c>
      <c r="N76" s="6">
        <v>0</v>
      </c>
      <c r="O76" s="6">
        <v>0</v>
      </c>
      <c r="P76" s="2" t="s">
        <v>25</v>
      </c>
      <c r="Q76" s="2" t="s">
        <v>32</v>
      </c>
      <c r="R76" s="2" t="s">
        <v>397</v>
      </c>
      <c r="S76" s="5">
        <v>1</v>
      </c>
      <c r="T76" s="1">
        <v>0</v>
      </c>
      <c r="U76" s="2">
        <f t="shared" si="14"/>
        <v>1</v>
      </c>
      <c r="V76" s="1">
        <v>0</v>
      </c>
      <c r="W76" s="2">
        <f t="shared" si="12"/>
        <v>1</v>
      </c>
      <c r="X76" s="8">
        <f t="shared" si="13"/>
        <v>100</v>
      </c>
    </row>
    <row r="77" spans="1:24" ht="15" customHeight="1">
      <c r="A77" s="9">
        <v>46054</v>
      </c>
      <c r="B77" s="2" t="s">
        <v>45</v>
      </c>
      <c r="C77" s="2" t="s">
        <v>180</v>
      </c>
      <c r="D77" s="2" t="s">
        <v>199</v>
      </c>
      <c r="E77" s="2" t="s">
        <v>200</v>
      </c>
      <c r="F77" s="2" t="s">
        <v>201</v>
      </c>
      <c r="G77" s="2" t="s">
        <v>23</v>
      </c>
      <c r="H77" s="2" t="s">
        <v>24</v>
      </c>
      <c r="I77" s="6">
        <v>29.84</v>
      </c>
      <c r="J77" s="6">
        <v>939</v>
      </c>
      <c r="K77" s="6">
        <v>25864</v>
      </c>
      <c r="L77" s="6">
        <v>26803</v>
      </c>
      <c r="M77" s="6">
        <v>0</v>
      </c>
      <c r="N77" s="6">
        <v>0</v>
      </c>
      <c r="O77" s="6">
        <v>0</v>
      </c>
      <c r="P77" s="2" t="s">
        <v>25</v>
      </c>
      <c r="Q77" s="2" t="s">
        <v>32</v>
      </c>
      <c r="R77" s="2" t="s">
        <v>27</v>
      </c>
      <c r="S77" s="5">
        <v>1</v>
      </c>
      <c r="T77" s="1">
        <v>0</v>
      </c>
      <c r="U77" s="2">
        <f t="shared" si="14"/>
        <v>1</v>
      </c>
      <c r="V77" s="1">
        <v>0</v>
      </c>
      <c r="W77" s="2">
        <f t="shared" si="12"/>
        <v>1</v>
      </c>
      <c r="X77" s="8">
        <f t="shared" si="13"/>
        <v>100</v>
      </c>
    </row>
    <row r="78" spans="1:24" ht="15" customHeight="1">
      <c r="A78" s="9">
        <v>46054</v>
      </c>
      <c r="B78" s="2" t="s">
        <v>45</v>
      </c>
      <c r="C78" s="2" t="s">
        <v>180</v>
      </c>
      <c r="D78" s="2" t="s">
        <v>202</v>
      </c>
      <c r="E78" s="2" t="s">
        <v>203</v>
      </c>
      <c r="F78" s="2" t="s">
        <v>204</v>
      </c>
      <c r="G78" s="2" t="s">
        <v>23</v>
      </c>
      <c r="H78" s="2" t="s">
        <v>24</v>
      </c>
      <c r="I78" s="6">
        <v>30</v>
      </c>
      <c r="J78" s="6">
        <v>9095</v>
      </c>
      <c r="K78" s="6">
        <v>137000</v>
      </c>
      <c r="L78" s="6">
        <v>146095</v>
      </c>
      <c r="M78" s="6">
        <v>0</v>
      </c>
      <c r="N78" s="6">
        <v>0</v>
      </c>
      <c r="O78" s="6">
        <v>0</v>
      </c>
      <c r="P78" s="2" t="s">
        <v>25</v>
      </c>
      <c r="Q78" s="2" t="s">
        <v>32</v>
      </c>
      <c r="R78" s="2" t="s">
        <v>27</v>
      </c>
      <c r="S78" s="5">
        <v>1</v>
      </c>
      <c r="T78" s="1">
        <v>0</v>
      </c>
      <c r="U78" s="2">
        <f t="shared" si="14"/>
        <v>1</v>
      </c>
      <c r="V78" s="1">
        <v>0</v>
      </c>
      <c r="W78" s="2">
        <f t="shared" si="12"/>
        <v>1</v>
      </c>
      <c r="X78" s="8">
        <f t="shared" si="13"/>
        <v>100</v>
      </c>
    </row>
    <row r="79" spans="1:24" ht="15" customHeight="1">
      <c r="A79" s="9">
        <v>46054</v>
      </c>
      <c r="B79" s="2" t="s">
        <v>45</v>
      </c>
      <c r="C79" s="2" t="s">
        <v>180</v>
      </c>
      <c r="D79" s="2" t="s">
        <v>205</v>
      </c>
      <c r="E79" s="2" t="s">
        <v>206</v>
      </c>
      <c r="F79" s="2" t="s">
        <v>207</v>
      </c>
      <c r="G79" s="2" t="s">
        <v>208</v>
      </c>
      <c r="H79" s="2" t="s">
        <v>24</v>
      </c>
      <c r="I79" s="6">
        <v>38.14</v>
      </c>
      <c r="J79" s="6">
        <v>7492</v>
      </c>
      <c r="K79" s="6">
        <v>1180</v>
      </c>
      <c r="L79" s="6">
        <v>1230</v>
      </c>
      <c r="M79" s="6">
        <v>0</v>
      </c>
      <c r="N79" s="6">
        <v>50</v>
      </c>
      <c r="O79" s="6">
        <v>7492</v>
      </c>
      <c r="P79" s="2" t="s">
        <v>25</v>
      </c>
      <c r="Q79" s="2" t="s">
        <v>32</v>
      </c>
      <c r="R79" s="2" t="s">
        <v>27</v>
      </c>
      <c r="S79" s="5">
        <v>1</v>
      </c>
      <c r="T79" s="1">
        <v>0</v>
      </c>
      <c r="U79" s="2">
        <f t="shared" si="14"/>
        <v>1</v>
      </c>
      <c r="V79" s="1">
        <v>0</v>
      </c>
      <c r="W79" s="2">
        <f t="shared" si="12"/>
        <v>1</v>
      </c>
      <c r="X79" s="8">
        <f t="shared" si="13"/>
        <v>100</v>
      </c>
    </row>
    <row r="80" spans="1:24" ht="15" customHeight="1">
      <c r="A80" s="9">
        <v>46054</v>
      </c>
      <c r="B80" s="2" t="s">
        <v>45</v>
      </c>
      <c r="C80" s="2" t="s">
        <v>180</v>
      </c>
      <c r="D80" s="2" t="s">
        <v>209</v>
      </c>
      <c r="E80" s="2" t="s">
        <v>35</v>
      </c>
      <c r="F80" s="2" t="s">
        <v>210</v>
      </c>
      <c r="G80" s="2" t="s">
        <v>30</v>
      </c>
      <c r="H80" s="2" t="s">
        <v>24</v>
      </c>
      <c r="I80" s="6">
        <v>30</v>
      </c>
      <c r="J80" s="6">
        <v>11422</v>
      </c>
      <c r="K80" s="6">
        <v>272911</v>
      </c>
      <c r="L80" s="6">
        <v>284333</v>
      </c>
      <c r="M80" s="6">
        <v>0</v>
      </c>
      <c r="N80" s="6">
        <v>0</v>
      </c>
      <c r="O80" s="6">
        <v>0</v>
      </c>
      <c r="P80" s="2" t="s">
        <v>25</v>
      </c>
      <c r="Q80" s="2" t="s">
        <v>32</v>
      </c>
      <c r="R80" s="2" t="s">
        <v>27</v>
      </c>
      <c r="S80" s="5">
        <v>1</v>
      </c>
      <c r="T80" s="1">
        <v>0</v>
      </c>
      <c r="U80" s="2">
        <f t="shared" si="14"/>
        <v>1</v>
      </c>
      <c r="V80" s="1">
        <v>0</v>
      </c>
      <c r="W80" s="2">
        <f t="shared" si="12"/>
        <v>1</v>
      </c>
      <c r="X80" s="8">
        <f t="shared" si="13"/>
        <v>100</v>
      </c>
    </row>
    <row r="81" spans="1:24" ht="15" customHeight="1">
      <c r="A81" s="9">
        <v>46054</v>
      </c>
      <c r="B81" s="2" t="s">
        <v>45</v>
      </c>
      <c r="C81" s="2" t="s">
        <v>180</v>
      </c>
      <c r="D81" s="2" t="s">
        <v>211</v>
      </c>
      <c r="E81" s="2" t="s">
        <v>212</v>
      </c>
      <c r="F81" s="2" t="s">
        <v>213</v>
      </c>
      <c r="G81" s="2" t="s">
        <v>214</v>
      </c>
      <c r="H81" s="2" t="s">
        <v>24</v>
      </c>
      <c r="I81" s="6">
        <v>35</v>
      </c>
      <c r="J81" s="6">
        <v>50</v>
      </c>
      <c r="K81" s="6">
        <v>1180</v>
      </c>
      <c r="L81" s="6">
        <v>1230</v>
      </c>
      <c r="M81" s="6">
        <v>0</v>
      </c>
      <c r="N81" s="6">
        <v>50</v>
      </c>
      <c r="O81" s="6">
        <v>50</v>
      </c>
      <c r="P81" s="2" t="s">
        <v>25</v>
      </c>
      <c r="Q81" s="2" t="s">
        <v>32</v>
      </c>
      <c r="R81" s="2" t="s">
        <v>27</v>
      </c>
      <c r="S81" s="5">
        <v>1</v>
      </c>
      <c r="T81" s="1">
        <v>0</v>
      </c>
      <c r="U81" s="2">
        <f t="shared" si="14"/>
        <v>1</v>
      </c>
      <c r="V81" s="1">
        <v>0</v>
      </c>
      <c r="W81" s="2">
        <f t="shared" si="12"/>
        <v>1</v>
      </c>
      <c r="X81" s="8">
        <f t="shared" si="13"/>
        <v>100</v>
      </c>
    </row>
    <row r="82" spans="1:24" ht="15" customHeight="1">
      <c r="A82" s="9">
        <v>46054</v>
      </c>
      <c r="B82" s="2" t="s">
        <v>45</v>
      </c>
      <c r="C82" s="2" t="s">
        <v>180</v>
      </c>
      <c r="D82" s="2" t="s">
        <v>215</v>
      </c>
      <c r="E82" s="2" t="s">
        <v>216</v>
      </c>
      <c r="F82" s="2" t="s">
        <v>217</v>
      </c>
      <c r="G82" s="2"/>
      <c r="H82" s="2" t="s">
        <v>24</v>
      </c>
      <c r="I82" s="6">
        <v>22.38</v>
      </c>
      <c r="J82" s="6">
        <v>3483</v>
      </c>
      <c r="K82" s="6">
        <v>108791</v>
      </c>
      <c r="L82" s="6">
        <v>112274</v>
      </c>
      <c r="M82" s="6">
        <v>0</v>
      </c>
      <c r="N82" s="6">
        <v>0</v>
      </c>
      <c r="O82" s="6">
        <v>0</v>
      </c>
      <c r="P82" s="2" t="s">
        <v>25</v>
      </c>
      <c r="Q82" s="2" t="s">
        <v>32</v>
      </c>
      <c r="R82" s="2" t="s">
        <v>27</v>
      </c>
      <c r="S82" s="5">
        <v>1</v>
      </c>
      <c r="T82" s="1">
        <v>0</v>
      </c>
      <c r="U82" s="2">
        <f t="shared" si="14"/>
        <v>1</v>
      </c>
      <c r="V82" s="1">
        <v>0</v>
      </c>
      <c r="W82" s="2">
        <f t="shared" si="12"/>
        <v>1</v>
      </c>
      <c r="X82" s="8">
        <f t="shared" si="13"/>
        <v>100</v>
      </c>
    </row>
    <row r="83" spans="1:24" ht="15" customHeight="1">
      <c r="A83" s="9">
        <v>46054</v>
      </c>
      <c r="B83" s="2" t="s">
        <v>45</v>
      </c>
      <c r="C83" s="2" t="s">
        <v>180</v>
      </c>
      <c r="D83" s="2" t="s">
        <v>218</v>
      </c>
      <c r="E83" s="2" t="s">
        <v>166</v>
      </c>
      <c r="F83" s="2" t="s">
        <v>219</v>
      </c>
      <c r="G83" s="2"/>
      <c r="H83" s="2" t="s">
        <v>24</v>
      </c>
      <c r="I83" s="6">
        <v>25</v>
      </c>
      <c r="J83" s="6">
        <v>5345</v>
      </c>
      <c r="K83" s="6">
        <v>117647</v>
      </c>
      <c r="L83" s="6">
        <v>122992</v>
      </c>
      <c r="M83" s="6">
        <v>0</v>
      </c>
      <c r="N83" s="6">
        <v>0</v>
      </c>
      <c r="O83" s="6">
        <v>0</v>
      </c>
      <c r="P83" s="2" t="s">
        <v>25</v>
      </c>
      <c r="Q83" s="2" t="s">
        <v>32</v>
      </c>
      <c r="R83" s="2" t="s">
        <v>27</v>
      </c>
      <c r="S83" s="5">
        <v>1</v>
      </c>
      <c r="T83" s="1">
        <v>0</v>
      </c>
      <c r="U83" s="2">
        <f t="shared" si="14"/>
        <v>1</v>
      </c>
      <c r="V83" s="1">
        <v>0</v>
      </c>
      <c r="W83" s="2">
        <f t="shared" si="12"/>
        <v>1</v>
      </c>
      <c r="X83" s="8">
        <f t="shared" si="13"/>
        <v>100</v>
      </c>
    </row>
    <row r="84" spans="1:24" ht="15" customHeight="1">
      <c r="A84" s="9">
        <v>46054</v>
      </c>
      <c r="B84" s="2" t="s">
        <v>45</v>
      </c>
      <c r="C84" s="2" t="s">
        <v>180</v>
      </c>
      <c r="D84" s="2" t="s">
        <v>1656</v>
      </c>
      <c r="E84" s="2" t="s">
        <v>1397</v>
      </c>
      <c r="F84" s="2" t="s">
        <v>1657</v>
      </c>
      <c r="G84" s="2" t="s">
        <v>1658</v>
      </c>
      <c r="H84" s="2" t="s">
        <v>24</v>
      </c>
      <c r="I84" s="6">
        <v>29.84</v>
      </c>
      <c r="J84" s="6">
        <v>163317</v>
      </c>
      <c r="K84" s="6">
        <v>1234</v>
      </c>
      <c r="L84" s="6">
        <v>164601</v>
      </c>
      <c r="M84" s="6">
        <v>0</v>
      </c>
      <c r="N84" s="6">
        <v>50</v>
      </c>
      <c r="O84" s="6">
        <v>0</v>
      </c>
      <c r="P84" s="2" t="s">
        <v>25</v>
      </c>
      <c r="Q84" s="2" t="s">
        <v>32</v>
      </c>
      <c r="R84" s="2" t="s">
        <v>397</v>
      </c>
      <c r="S84" s="5">
        <v>1</v>
      </c>
      <c r="T84" s="1">
        <v>0</v>
      </c>
      <c r="U84" s="2">
        <f t="shared" si="14"/>
        <v>1</v>
      </c>
      <c r="V84" s="1">
        <v>0</v>
      </c>
      <c r="W84" s="2">
        <f t="shared" si="12"/>
        <v>1</v>
      </c>
      <c r="X84" s="8">
        <f t="shared" si="13"/>
        <v>100</v>
      </c>
    </row>
    <row r="85" spans="1:24" ht="15" customHeight="1">
      <c r="A85" s="9">
        <v>46054</v>
      </c>
      <c r="B85" s="2" t="s">
        <v>45</v>
      </c>
      <c r="C85" s="2" t="s">
        <v>180</v>
      </c>
      <c r="D85" s="2" t="s">
        <v>220</v>
      </c>
      <c r="E85" s="2" t="s">
        <v>221</v>
      </c>
      <c r="F85" s="2" t="s">
        <v>222</v>
      </c>
      <c r="G85" s="2" t="s">
        <v>23</v>
      </c>
      <c r="H85" s="2" t="s">
        <v>24</v>
      </c>
      <c r="I85" s="6">
        <v>38</v>
      </c>
      <c r="J85" s="6">
        <v>70932</v>
      </c>
      <c r="K85" s="6">
        <v>482574</v>
      </c>
      <c r="L85" s="6">
        <v>556142</v>
      </c>
      <c r="M85" s="6">
        <v>0</v>
      </c>
      <c r="N85" s="6">
        <v>2636</v>
      </c>
      <c r="O85" s="6">
        <v>0</v>
      </c>
      <c r="P85" s="2" t="s">
        <v>25</v>
      </c>
      <c r="Q85" s="2" t="s">
        <v>32</v>
      </c>
      <c r="R85" s="2" t="s">
        <v>27</v>
      </c>
      <c r="S85" s="5">
        <v>1</v>
      </c>
      <c r="T85" s="1">
        <v>0</v>
      </c>
      <c r="U85" s="2">
        <f t="shared" si="14"/>
        <v>1</v>
      </c>
      <c r="V85" s="1">
        <v>0</v>
      </c>
      <c r="W85" s="2">
        <f t="shared" si="12"/>
        <v>1</v>
      </c>
      <c r="X85" s="8">
        <f t="shared" si="13"/>
        <v>100</v>
      </c>
    </row>
    <row r="86" spans="1:24" ht="15" customHeight="1">
      <c r="A86" s="9">
        <v>46054</v>
      </c>
      <c r="B86" s="2" t="s">
        <v>45</v>
      </c>
      <c r="C86" s="2" t="s">
        <v>180</v>
      </c>
      <c r="D86" s="2" t="s">
        <v>223</v>
      </c>
      <c r="E86" s="2" t="s">
        <v>200</v>
      </c>
      <c r="F86" s="2" t="s">
        <v>224</v>
      </c>
      <c r="G86" s="2" t="s">
        <v>23</v>
      </c>
      <c r="H86" s="2" t="s">
        <v>24</v>
      </c>
      <c r="I86" s="6">
        <v>30</v>
      </c>
      <c r="J86" s="6">
        <v>6696</v>
      </c>
      <c r="K86" s="6">
        <v>138611</v>
      </c>
      <c r="L86" s="6">
        <v>145307</v>
      </c>
      <c r="M86" s="6">
        <v>0</v>
      </c>
      <c r="N86" s="6">
        <v>0</v>
      </c>
      <c r="O86" s="6">
        <v>0</v>
      </c>
      <c r="P86" s="2" t="s">
        <v>25</v>
      </c>
      <c r="Q86" s="2" t="s">
        <v>32</v>
      </c>
      <c r="R86" s="2" t="s">
        <v>27</v>
      </c>
      <c r="S86" s="5">
        <v>1</v>
      </c>
      <c r="T86" s="1">
        <v>0</v>
      </c>
      <c r="U86" s="2">
        <f t="shared" si="14"/>
        <v>1</v>
      </c>
      <c r="V86" s="1">
        <v>0</v>
      </c>
      <c r="W86" s="2">
        <f t="shared" si="12"/>
        <v>1</v>
      </c>
      <c r="X86" s="8">
        <f t="shared" si="13"/>
        <v>100</v>
      </c>
    </row>
    <row r="87" spans="1:24" ht="15" customHeight="1">
      <c r="A87" s="9">
        <v>46054</v>
      </c>
      <c r="B87" s="2" t="s">
        <v>45</v>
      </c>
      <c r="C87" s="2" t="s">
        <v>180</v>
      </c>
      <c r="D87" s="2" t="s">
        <v>225</v>
      </c>
      <c r="E87" s="2" t="s">
        <v>226</v>
      </c>
      <c r="F87" s="2" t="s">
        <v>227</v>
      </c>
      <c r="G87" s="2" t="s">
        <v>65</v>
      </c>
      <c r="H87" s="2" t="s">
        <v>24</v>
      </c>
      <c r="I87" s="6">
        <v>37.299999999999997</v>
      </c>
      <c r="J87" s="6">
        <v>50</v>
      </c>
      <c r="K87" s="6">
        <v>1180</v>
      </c>
      <c r="L87" s="6">
        <v>1230</v>
      </c>
      <c r="M87" s="6">
        <v>0</v>
      </c>
      <c r="N87" s="6">
        <v>50</v>
      </c>
      <c r="O87" s="6">
        <v>50</v>
      </c>
      <c r="P87" s="2" t="s">
        <v>25</v>
      </c>
      <c r="Q87" s="2" t="s">
        <v>32</v>
      </c>
      <c r="R87" s="2" t="s">
        <v>126</v>
      </c>
      <c r="S87" s="5">
        <v>1</v>
      </c>
      <c r="T87" s="1">
        <v>0</v>
      </c>
      <c r="U87" s="2">
        <f t="shared" si="14"/>
        <v>1</v>
      </c>
      <c r="V87" s="1">
        <v>0</v>
      </c>
      <c r="W87" s="2">
        <f t="shared" si="12"/>
        <v>1</v>
      </c>
      <c r="X87" s="8">
        <f t="shared" si="13"/>
        <v>100</v>
      </c>
    </row>
    <row r="88" spans="1:24" ht="15" customHeight="1">
      <c r="A88" s="9">
        <v>46054</v>
      </c>
      <c r="B88" s="2" t="s">
        <v>45</v>
      </c>
      <c r="C88" s="2" t="s">
        <v>180</v>
      </c>
      <c r="D88" s="2" t="s">
        <v>228</v>
      </c>
      <c r="E88" s="2" t="s">
        <v>35</v>
      </c>
      <c r="F88" s="2" t="s">
        <v>229</v>
      </c>
      <c r="G88" s="2" t="s">
        <v>230</v>
      </c>
      <c r="H88" s="2" t="s">
        <v>24</v>
      </c>
      <c r="I88" s="6">
        <v>35</v>
      </c>
      <c r="J88" s="6">
        <v>14184</v>
      </c>
      <c r="K88" s="6">
        <v>205878</v>
      </c>
      <c r="L88" s="6">
        <v>220062</v>
      </c>
      <c r="M88" s="6">
        <v>0</v>
      </c>
      <c r="N88" s="6">
        <v>0</v>
      </c>
      <c r="O88" s="6">
        <v>0</v>
      </c>
      <c r="P88" s="2" t="s">
        <v>25</v>
      </c>
      <c r="Q88" s="2" t="s">
        <v>32</v>
      </c>
      <c r="R88" s="2" t="s">
        <v>50</v>
      </c>
      <c r="S88" s="5">
        <v>1</v>
      </c>
      <c r="T88" s="1">
        <v>0</v>
      </c>
      <c r="U88" s="2">
        <f t="shared" si="14"/>
        <v>1</v>
      </c>
      <c r="V88" s="1">
        <v>0</v>
      </c>
      <c r="W88" s="2">
        <f t="shared" si="12"/>
        <v>1</v>
      </c>
      <c r="X88" s="8">
        <f t="shared" si="13"/>
        <v>100</v>
      </c>
    </row>
    <row r="89" spans="1:24" ht="15" customHeight="1">
      <c r="A89" s="9">
        <v>46054</v>
      </c>
      <c r="B89" s="2" t="s">
        <v>45</v>
      </c>
      <c r="C89" s="2" t="s">
        <v>180</v>
      </c>
      <c r="D89" s="2" t="s">
        <v>1555</v>
      </c>
      <c r="E89" s="2" t="s">
        <v>1402</v>
      </c>
      <c r="F89" s="2" t="s">
        <v>1556</v>
      </c>
      <c r="G89" s="2" t="s">
        <v>1557</v>
      </c>
      <c r="H89" s="2" t="s">
        <v>24</v>
      </c>
      <c r="I89" s="6">
        <v>29.84</v>
      </c>
      <c r="J89" s="6">
        <v>3390475</v>
      </c>
      <c r="K89" s="6">
        <v>554263</v>
      </c>
      <c r="L89" s="6">
        <v>575000</v>
      </c>
      <c r="M89" s="6">
        <v>0</v>
      </c>
      <c r="N89" s="6">
        <v>69034</v>
      </c>
      <c r="O89" s="6">
        <v>3438772</v>
      </c>
      <c r="P89" s="2" t="s">
        <v>25</v>
      </c>
      <c r="Q89" s="2" t="s">
        <v>32</v>
      </c>
      <c r="R89" s="2" t="s">
        <v>50</v>
      </c>
      <c r="S89" s="5">
        <v>1</v>
      </c>
      <c r="T89" s="1">
        <v>0</v>
      </c>
      <c r="U89" s="2">
        <f t="shared" si="14"/>
        <v>1</v>
      </c>
      <c r="V89" s="1">
        <v>0</v>
      </c>
      <c r="W89" s="2">
        <f t="shared" si="12"/>
        <v>1</v>
      </c>
      <c r="X89" s="8">
        <f t="shared" si="13"/>
        <v>100</v>
      </c>
    </row>
    <row r="90" spans="1:24" ht="15" customHeight="1">
      <c r="A90" s="9">
        <v>46054</v>
      </c>
      <c r="B90" s="2" t="s">
        <v>45</v>
      </c>
      <c r="C90" s="2" t="s">
        <v>180</v>
      </c>
      <c r="D90" s="2" t="s">
        <v>231</v>
      </c>
      <c r="E90" s="2" t="s">
        <v>101</v>
      </c>
      <c r="F90" s="2" t="s">
        <v>232</v>
      </c>
      <c r="G90" s="2"/>
      <c r="H90" s="2" t="s">
        <v>24</v>
      </c>
      <c r="I90" s="6">
        <v>30</v>
      </c>
      <c r="J90" s="6">
        <v>16371</v>
      </c>
      <c r="K90" s="6">
        <v>390113</v>
      </c>
      <c r="L90" s="6">
        <v>406484</v>
      </c>
      <c r="M90" s="6">
        <v>0</v>
      </c>
      <c r="N90" s="6">
        <v>0</v>
      </c>
      <c r="O90" s="6">
        <v>0</v>
      </c>
      <c r="P90" s="2" t="s">
        <v>25</v>
      </c>
      <c r="Q90" s="2" t="s">
        <v>32</v>
      </c>
      <c r="R90" s="2" t="s">
        <v>27</v>
      </c>
      <c r="S90" s="5">
        <v>1</v>
      </c>
      <c r="T90" s="1">
        <v>0</v>
      </c>
      <c r="U90" s="2">
        <f t="shared" si="14"/>
        <v>1</v>
      </c>
      <c r="V90" s="1">
        <v>0</v>
      </c>
      <c r="W90" s="2">
        <f t="shared" si="12"/>
        <v>1</v>
      </c>
      <c r="X90" s="8">
        <f t="shared" si="13"/>
        <v>100</v>
      </c>
    </row>
    <row r="91" spans="1:24" ht="15" customHeight="1">
      <c r="A91" s="9">
        <v>46054</v>
      </c>
      <c r="B91" s="2" t="s">
        <v>45</v>
      </c>
      <c r="C91" s="2" t="s">
        <v>180</v>
      </c>
      <c r="D91" s="2" t="s">
        <v>233</v>
      </c>
      <c r="E91" s="2" t="s">
        <v>234</v>
      </c>
      <c r="F91" s="2" t="s">
        <v>235</v>
      </c>
      <c r="G91" s="2" t="s">
        <v>236</v>
      </c>
      <c r="H91" s="2" t="s">
        <v>24</v>
      </c>
      <c r="I91" s="6">
        <v>40</v>
      </c>
      <c r="J91" s="6">
        <v>21765</v>
      </c>
      <c r="K91" s="6">
        <v>281750</v>
      </c>
      <c r="L91" s="6">
        <v>293386</v>
      </c>
      <c r="M91" s="6">
        <v>0</v>
      </c>
      <c r="N91" s="6">
        <v>0</v>
      </c>
      <c r="O91" s="6">
        <v>10129</v>
      </c>
      <c r="P91" s="2" t="s">
        <v>25</v>
      </c>
      <c r="Q91" s="2" t="s">
        <v>32</v>
      </c>
      <c r="R91" s="2" t="s">
        <v>27</v>
      </c>
      <c r="S91" s="5">
        <v>1</v>
      </c>
      <c r="T91" s="1">
        <v>0</v>
      </c>
      <c r="U91" s="2">
        <f t="shared" si="14"/>
        <v>1</v>
      </c>
      <c r="V91" s="1">
        <v>0</v>
      </c>
      <c r="W91" s="2">
        <f t="shared" si="12"/>
        <v>1</v>
      </c>
      <c r="X91" s="8">
        <f t="shared" si="13"/>
        <v>100</v>
      </c>
    </row>
    <row r="92" spans="1:24" ht="15" customHeight="1">
      <c r="A92" s="9">
        <v>46054</v>
      </c>
      <c r="B92" s="2" t="s">
        <v>45</v>
      </c>
      <c r="C92" s="2" t="s">
        <v>180</v>
      </c>
      <c r="D92" s="2" t="s">
        <v>237</v>
      </c>
      <c r="E92" s="2" t="s">
        <v>238</v>
      </c>
      <c r="F92" s="2" t="s">
        <v>239</v>
      </c>
      <c r="G92" s="2"/>
      <c r="H92" s="2" t="s">
        <v>24</v>
      </c>
      <c r="I92" s="6">
        <v>37</v>
      </c>
      <c r="J92" s="6">
        <v>66537</v>
      </c>
      <c r="K92" s="6">
        <v>472129</v>
      </c>
      <c r="L92" s="6">
        <v>540954</v>
      </c>
      <c r="M92" s="6">
        <v>0</v>
      </c>
      <c r="N92" s="6">
        <v>2288</v>
      </c>
      <c r="O92" s="6">
        <v>0</v>
      </c>
      <c r="P92" s="2" t="s">
        <v>25</v>
      </c>
      <c r="Q92" s="2" t="s">
        <v>32</v>
      </c>
      <c r="R92" s="2" t="s">
        <v>27</v>
      </c>
      <c r="S92" s="5">
        <v>1</v>
      </c>
      <c r="T92" s="1">
        <v>0</v>
      </c>
      <c r="U92" s="2">
        <f t="shared" si="14"/>
        <v>1</v>
      </c>
      <c r="V92" s="1">
        <v>0</v>
      </c>
      <c r="W92" s="2">
        <f t="shared" si="12"/>
        <v>1</v>
      </c>
      <c r="X92" s="8">
        <f t="shared" si="13"/>
        <v>100</v>
      </c>
    </row>
    <row r="93" spans="1:24" ht="15" customHeight="1">
      <c r="A93" s="9">
        <v>46054</v>
      </c>
      <c r="B93" s="2" t="s">
        <v>45</v>
      </c>
      <c r="C93" s="2" t="s">
        <v>180</v>
      </c>
      <c r="D93" s="2" t="s">
        <v>1716</v>
      </c>
      <c r="E93" s="2" t="s">
        <v>1402</v>
      </c>
      <c r="F93" s="2" t="s">
        <v>1717</v>
      </c>
      <c r="G93" s="2" t="s">
        <v>49</v>
      </c>
      <c r="H93" s="2" t="s">
        <v>24</v>
      </c>
      <c r="I93" s="6">
        <v>29.84</v>
      </c>
      <c r="J93" s="6">
        <v>3047</v>
      </c>
      <c r="K93" s="6">
        <v>89144</v>
      </c>
      <c r="L93" s="6">
        <v>92191</v>
      </c>
      <c r="M93" s="6">
        <v>0</v>
      </c>
      <c r="N93" s="6">
        <v>0</v>
      </c>
      <c r="O93" s="6">
        <v>0</v>
      </c>
      <c r="P93" s="2" t="s">
        <v>25</v>
      </c>
      <c r="Q93" s="2" t="s">
        <v>32</v>
      </c>
      <c r="R93" s="2" t="s">
        <v>50</v>
      </c>
      <c r="S93" s="5">
        <v>1</v>
      </c>
      <c r="T93" s="1">
        <v>0</v>
      </c>
      <c r="U93" s="2">
        <f t="shared" si="14"/>
        <v>1</v>
      </c>
      <c r="V93" s="1">
        <v>0</v>
      </c>
      <c r="W93" s="2">
        <f t="shared" si="12"/>
        <v>1</v>
      </c>
      <c r="X93" s="8">
        <f t="shared" si="13"/>
        <v>100</v>
      </c>
    </row>
    <row r="94" spans="1:24" ht="15" customHeight="1">
      <c r="A94" s="9">
        <v>46054</v>
      </c>
      <c r="B94" s="2" t="s">
        <v>45</v>
      </c>
      <c r="C94" s="2" t="s">
        <v>180</v>
      </c>
      <c r="D94" s="2" t="s">
        <v>240</v>
      </c>
      <c r="E94" s="2" t="s">
        <v>151</v>
      </c>
      <c r="F94" s="2" t="s">
        <v>241</v>
      </c>
      <c r="G94" s="2" t="s">
        <v>65</v>
      </c>
      <c r="H94" s="2" t="s">
        <v>24</v>
      </c>
      <c r="I94" s="6">
        <v>29.84</v>
      </c>
      <c r="J94" s="6">
        <v>2903965</v>
      </c>
      <c r="K94" s="6">
        <v>1180</v>
      </c>
      <c r="L94" s="6">
        <v>0</v>
      </c>
      <c r="M94" s="6">
        <v>0</v>
      </c>
      <c r="N94" s="6">
        <v>150</v>
      </c>
      <c r="O94" s="6">
        <v>2905295</v>
      </c>
      <c r="P94" s="2" t="s">
        <v>25</v>
      </c>
      <c r="Q94" s="2" t="s">
        <v>32</v>
      </c>
      <c r="R94" s="2" t="s">
        <v>126</v>
      </c>
      <c r="S94" s="5">
        <v>1</v>
      </c>
      <c r="T94" s="1">
        <v>0</v>
      </c>
      <c r="U94" s="2">
        <f t="shared" si="14"/>
        <v>1</v>
      </c>
      <c r="V94" s="1">
        <v>0</v>
      </c>
      <c r="W94" s="2">
        <f t="shared" si="12"/>
        <v>1</v>
      </c>
      <c r="X94" s="8">
        <f t="shared" si="13"/>
        <v>100</v>
      </c>
    </row>
    <row r="95" spans="1:24" ht="15" customHeight="1">
      <c r="A95" s="9">
        <v>46054</v>
      </c>
      <c r="B95" s="2" t="s">
        <v>45</v>
      </c>
      <c r="C95" s="2" t="s">
        <v>180</v>
      </c>
      <c r="D95" s="2" t="s">
        <v>242</v>
      </c>
      <c r="E95" s="2" t="s">
        <v>68</v>
      </c>
      <c r="F95" s="2" t="s">
        <v>243</v>
      </c>
      <c r="G95" s="2" t="s">
        <v>244</v>
      </c>
      <c r="H95" s="2" t="s">
        <v>24</v>
      </c>
      <c r="I95" s="6">
        <v>40</v>
      </c>
      <c r="J95" s="6">
        <v>119012</v>
      </c>
      <c r="K95" s="6">
        <v>157390</v>
      </c>
      <c r="L95" s="6">
        <v>163379</v>
      </c>
      <c r="M95" s="6">
        <v>0</v>
      </c>
      <c r="N95" s="6">
        <v>0</v>
      </c>
      <c r="O95" s="6">
        <v>113023</v>
      </c>
      <c r="P95" s="2" t="s">
        <v>25</v>
      </c>
      <c r="Q95" s="2" t="s">
        <v>32</v>
      </c>
      <c r="R95" s="2" t="s">
        <v>27</v>
      </c>
      <c r="S95" s="5">
        <v>1</v>
      </c>
      <c r="T95" s="1">
        <v>0</v>
      </c>
      <c r="U95" s="2">
        <f t="shared" si="14"/>
        <v>1</v>
      </c>
      <c r="V95" s="1">
        <v>0</v>
      </c>
      <c r="W95" s="2">
        <f t="shared" si="12"/>
        <v>1</v>
      </c>
      <c r="X95" s="8">
        <f t="shared" si="13"/>
        <v>100</v>
      </c>
    </row>
    <row r="96" spans="1:24" ht="15" customHeight="1">
      <c r="A96" s="9">
        <v>46054</v>
      </c>
      <c r="B96" s="2" t="s">
        <v>45</v>
      </c>
      <c r="C96" s="2" t="s">
        <v>180</v>
      </c>
      <c r="D96" s="2" t="s">
        <v>245</v>
      </c>
      <c r="E96" s="2" t="s">
        <v>117</v>
      </c>
      <c r="F96" s="2" t="s">
        <v>246</v>
      </c>
      <c r="G96" s="2" t="s">
        <v>23</v>
      </c>
      <c r="H96" s="2" t="s">
        <v>24</v>
      </c>
      <c r="I96" s="6">
        <v>29.84</v>
      </c>
      <c r="J96" s="6">
        <v>42094</v>
      </c>
      <c r="K96" s="6">
        <v>332313</v>
      </c>
      <c r="L96" s="6">
        <v>375891</v>
      </c>
      <c r="M96" s="6">
        <v>0</v>
      </c>
      <c r="N96" s="6">
        <v>1484</v>
      </c>
      <c r="O96" s="6">
        <v>0</v>
      </c>
      <c r="P96" s="2" t="s">
        <v>25</v>
      </c>
      <c r="Q96" s="2" t="s">
        <v>32</v>
      </c>
      <c r="R96" s="2" t="s">
        <v>50</v>
      </c>
      <c r="S96" s="5">
        <v>1</v>
      </c>
      <c r="T96" s="1">
        <v>0</v>
      </c>
      <c r="U96" s="2">
        <f t="shared" si="14"/>
        <v>1</v>
      </c>
      <c r="V96" s="1">
        <v>0</v>
      </c>
      <c r="W96" s="2">
        <f t="shared" si="12"/>
        <v>1</v>
      </c>
      <c r="X96" s="8">
        <f t="shared" si="13"/>
        <v>100</v>
      </c>
    </row>
    <row r="97" spans="1:24" ht="15" customHeight="1">
      <c r="A97" s="9">
        <v>46054</v>
      </c>
      <c r="B97" s="2" t="s">
        <v>45</v>
      </c>
      <c r="C97" s="2" t="s">
        <v>180</v>
      </c>
      <c r="D97" s="2" t="s">
        <v>247</v>
      </c>
      <c r="E97" s="2" t="s">
        <v>151</v>
      </c>
      <c r="F97" s="2" t="s">
        <v>248</v>
      </c>
      <c r="G97" s="2" t="s">
        <v>65</v>
      </c>
      <c r="H97" s="2" t="s">
        <v>24</v>
      </c>
      <c r="I97" s="6">
        <v>45</v>
      </c>
      <c r="J97" s="6">
        <v>11074</v>
      </c>
      <c r="K97" s="6">
        <v>626748</v>
      </c>
      <c r="L97" s="6">
        <v>637822</v>
      </c>
      <c r="M97" s="6">
        <v>0</v>
      </c>
      <c r="N97" s="6">
        <v>0</v>
      </c>
      <c r="O97" s="6">
        <v>0</v>
      </c>
      <c r="P97" s="2" t="s">
        <v>25</v>
      </c>
      <c r="Q97" s="2" t="s">
        <v>32</v>
      </c>
      <c r="R97" s="2" t="s">
        <v>66</v>
      </c>
      <c r="S97" s="5">
        <v>1</v>
      </c>
      <c r="T97" s="1">
        <v>0</v>
      </c>
      <c r="U97" s="2">
        <f t="shared" si="14"/>
        <v>1</v>
      </c>
      <c r="V97" s="1">
        <v>0</v>
      </c>
      <c r="W97" s="2">
        <f t="shared" si="12"/>
        <v>1</v>
      </c>
      <c r="X97" s="8">
        <f t="shared" si="13"/>
        <v>100</v>
      </c>
    </row>
    <row r="98" spans="1:24" ht="15" customHeight="1">
      <c r="A98" s="9">
        <v>46054</v>
      </c>
      <c r="B98" s="2" t="s">
        <v>45</v>
      </c>
      <c r="C98" s="2" t="s">
        <v>180</v>
      </c>
      <c r="D98" s="2" t="s">
        <v>249</v>
      </c>
      <c r="E98" s="2" t="s">
        <v>250</v>
      </c>
      <c r="F98" s="2" t="s">
        <v>251</v>
      </c>
      <c r="G98" s="2" t="s">
        <v>252</v>
      </c>
      <c r="H98" s="2" t="s">
        <v>24</v>
      </c>
      <c r="I98" s="6">
        <v>29.9</v>
      </c>
      <c r="J98" s="6">
        <v>50</v>
      </c>
      <c r="K98" s="6">
        <v>1180</v>
      </c>
      <c r="L98" s="6">
        <v>1230</v>
      </c>
      <c r="M98" s="6">
        <v>0</v>
      </c>
      <c r="N98" s="6">
        <v>50</v>
      </c>
      <c r="O98" s="6">
        <v>50</v>
      </c>
      <c r="P98" s="2" t="s">
        <v>25</v>
      </c>
      <c r="Q98" s="2" t="s">
        <v>32</v>
      </c>
      <c r="R98" s="2" t="s">
        <v>27</v>
      </c>
      <c r="S98" s="5">
        <v>1</v>
      </c>
      <c r="T98" s="1">
        <v>0</v>
      </c>
      <c r="U98" s="2">
        <f t="shared" si="14"/>
        <v>1</v>
      </c>
      <c r="V98" s="1">
        <v>0</v>
      </c>
      <c r="W98" s="2">
        <f t="shared" si="12"/>
        <v>1</v>
      </c>
      <c r="X98" s="8">
        <f t="shared" si="13"/>
        <v>100</v>
      </c>
    </row>
    <row r="99" spans="1:24" ht="15" customHeight="1">
      <c r="A99" s="9">
        <v>46054</v>
      </c>
      <c r="B99" s="2" t="s">
        <v>45</v>
      </c>
      <c r="C99" s="2" t="s">
        <v>180</v>
      </c>
      <c r="D99" s="2" t="s">
        <v>253</v>
      </c>
      <c r="E99" s="2" t="s">
        <v>254</v>
      </c>
      <c r="F99" s="2" t="s">
        <v>255</v>
      </c>
      <c r="G99" s="2" t="s">
        <v>65</v>
      </c>
      <c r="H99" s="2" t="s">
        <v>24</v>
      </c>
      <c r="I99" s="6">
        <v>29.84</v>
      </c>
      <c r="J99" s="6">
        <v>75097</v>
      </c>
      <c r="K99" s="6">
        <v>822755</v>
      </c>
      <c r="L99" s="6">
        <v>899750</v>
      </c>
      <c r="M99" s="6">
        <v>0</v>
      </c>
      <c r="N99" s="6">
        <v>1898</v>
      </c>
      <c r="O99" s="6">
        <v>0</v>
      </c>
      <c r="P99" s="2" t="s">
        <v>25</v>
      </c>
      <c r="Q99" s="2" t="s">
        <v>32</v>
      </c>
      <c r="R99" s="2" t="s">
        <v>126</v>
      </c>
      <c r="S99" s="5">
        <v>1</v>
      </c>
      <c r="T99" s="1">
        <v>0</v>
      </c>
      <c r="U99" s="2">
        <f t="shared" si="14"/>
        <v>1</v>
      </c>
      <c r="V99" s="1">
        <v>0</v>
      </c>
      <c r="W99" s="2">
        <f t="shared" si="12"/>
        <v>1</v>
      </c>
      <c r="X99" s="8">
        <f t="shared" si="13"/>
        <v>100</v>
      </c>
    </row>
    <row r="100" spans="1:24" ht="15" customHeight="1">
      <c r="A100" s="9">
        <v>46054</v>
      </c>
      <c r="B100" s="2" t="s">
        <v>45</v>
      </c>
      <c r="C100" s="2" t="s">
        <v>180</v>
      </c>
      <c r="D100" s="2" t="s">
        <v>256</v>
      </c>
      <c r="E100" s="2" t="s">
        <v>257</v>
      </c>
      <c r="F100" s="2" t="s">
        <v>258</v>
      </c>
      <c r="G100" s="2" t="s">
        <v>259</v>
      </c>
      <c r="H100" s="2" t="s">
        <v>24</v>
      </c>
      <c r="I100" s="6">
        <v>30</v>
      </c>
      <c r="J100" s="6">
        <v>50</v>
      </c>
      <c r="K100" s="6">
        <v>1180</v>
      </c>
      <c r="L100" s="6">
        <v>1230</v>
      </c>
      <c r="M100" s="6">
        <v>0</v>
      </c>
      <c r="N100" s="6">
        <v>50</v>
      </c>
      <c r="O100" s="6">
        <v>50</v>
      </c>
      <c r="P100" s="2" t="s">
        <v>25</v>
      </c>
      <c r="Q100" s="2" t="s">
        <v>32</v>
      </c>
      <c r="R100" s="2" t="s">
        <v>126</v>
      </c>
      <c r="S100" s="5">
        <v>1</v>
      </c>
      <c r="T100" s="1">
        <v>0</v>
      </c>
      <c r="U100" s="2">
        <f t="shared" si="14"/>
        <v>1</v>
      </c>
      <c r="V100" s="1">
        <v>0</v>
      </c>
      <c r="W100" s="2">
        <f t="shared" si="12"/>
        <v>1</v>
      </c>
      <c r="X100" s="8">
        <f t="shared" si="13"/>
        <v>100</v>
      </c>
    </row>
    <row r="101" spans="1:24" ht="15" customHeight="1">
      <c r="A101" s="9">
        <v>46054</v>
      </c>
      <c r="B101" s="2" t="s">
        <v>45</v>
      </c>
      <c r="C101" s="2" t="s">
        <v>180</v>
      </c>
      <c r="D101" s="2" t="s">
        <v>260</v>
      </c>
      <c r="E101" s="2" t="s">
        <v>261</v>
      </c>
      <c r="F101" s="2" t="s">
        <v>262</v>
      </c>
      <c r="G101" s="2" t="s">
        <v>23</v>
      </c>
      <c r="H101" s="2" t="s">
        <v>24</v>
      </c>
      <c r="I101" s="6">
        <v>35</v>
      </c>
      <c r="J101" s="6">
        <v>1717</v>
      </c>
      <c r="K101" s="6">
        <v>63691</v>
      </c>
      <c r="L101" s="6">
        <v>65408</v>
      </c>
      <c r="M101" s="6">
        <v>0</v>
      </c>
      <c r="N101" s="6">
        <v>0</v>
      </c>
      <c r="O101" s="6">
        <v>0</v>
      </c>
      <c r="P101" s="2" t="s">
        <v>25</v>
      </c>
      <c r="Q101" s="2" t="s">
        <v>32</v>
      </c>
      <c r="R101" s="2" t="s">
        <v>126</v>
      </c>
      <c r="S101" s="5">
        <v>1</v>
      </c>
      <c r="T101" s="1">
        <v>0</v>
      </c>
      <c r="U101" s="2">
        <f t="shared" si="14"/>
        <v>1</v>
      </c>
      <c r="V101" s="1">
        <v>0</v>
      </c>
      <c r="W101" s="2">
        <f t="shared" si="12"/>
        <v>1</v>
      </c>
      <c r="X101" s="8">
        <f t="shared" si="13"/>
        <v>100</v>
      </c>
    </row>
    <row r="102" spans="1:24" ht="15" customHeight="1">
      <c r="A102" s="9">
        <v>46054</v>
      </c>
      <c r="B102" s="2" t="s">
        <v>45</v>
      </c>
      <c r="C102" s="2" t="s">
        <v>180</v>
      </c>
      <c r="D102" s="2" t="s">
        <v>1659</v>
      </c>
      <c r="E102" s="2" t="s">
        <v>1660</v>
      </c>
      <c r="F102" s="2" t="s">
        <v>1661</v>
      </c>
      <c r="G102" s="2" t="s">
        <v>1662</v>
      </c>
      <c r="H102" s="2" t="s">
        <v>24</v>
      </c>
      <c r="I102" s="6">
        <v>29.84</v>
      </c>
      <c r="J102" s="6">
        <v>2335250</v>
      </c>
      <c r="K102" s="6">
        <v>318634</v>
      </c>
      <c r="L102" s="6">
        <v>650000</v>
      </c>
      <c r="M102" s="6">
        <v>0</v>
      </c>
      <c r="N102" s="6">
        <v>28118</v>
      </c>
      <c r="O102" s="6">
        <v>2032002</v>
      </c>
      <c r="P102" s="2" t="s">
        <v>25</v>
      </c>
      <c r="Q102" s="2" t="s">
        <v>32</v>
      </c>
      <c r="R102" s="2" t="s">
        <v>397</v>
      </c>
      <c r="S102" s="5">
        <v>1</v>
      </c>
      <c r="T102" s="1">
        <v>0</v>
      </c>
      <c r="U102" s="2">
        <f t="shared" si="14"/>
        <v>1</v>
      </c>
      <c r="V102" s="1">
        <v>0</v>
      </c>
      <c r="W102" s="2">
        <f t="shared" si="12"/>
        <v>1</v>
      </c>
      <c r="X102" s="8">
        <f t="shared" si="13"/>
        <v>100</v>
      </c>
    </row>
    <row r="103" spans="1:24" ht="15" customHeight="1">
      <c r="A103" s="9">
        <v>46054</v>
      </c>
      <c r="B103" s="2" t="s">
        <v>45</v>
      </c>
      <c r="C103" s="2" t="s">
        <v>180</v>
      </c>
      <c r="D103" s="2" t="s">
        <v>263</v>
      </c>
      <c r="E103" s="2" t="s">
        <v>264</v>
      </c>
      <c r="F103" s="2" t="s">
        <v>265</v>
      </c>
      <c r="G103" s="2" t="s">
        <v>266</v>
      </c>
      <c r="H103" s="2" t="s">
        <v>24</v>
      </c>
      <c r="I103" s="6">
        <v>22.38</v>
      </c>
      <c r="J103" s="6">
        <v>1180285</v>
      </c>
      <c r="K103" s="6">
        <v>81046</v>
      </c>
      <c r="L103" s="6">
        <v>0</v>
      </c>
      <c r="M103" s="6">
        <v>0</v>
      </c>
      <c r="N103" s="6">
        <v>10989</v>
      </c>
      <c r="O103" s="6">
        <v>1272320</v>
      </c>
      <c r="P103" s="2" t="s">
        <v>25</v>
      </c>
      <c r="Q103" s="2" t="s">
        <v>32</v>
      </c>
      <c r="R103" s="2" t="s">
        <v>126</v>
      </c>
      <c r="S103" s="5">
        <v>1</v>
      </c>
      <c r="T103" s="1">
        <v>0</v>
      </c>
      <c r="U103" s="2">
        <f t="shared" si="14"/>
        <v>1</v>
      </c>
      <c r="V103" s="1">
        <v>0</v>
      </c>
      <c r="W103" s="2">
        <f t="shared" si="12"/>
        <v>1</v>
      </c>
      <c r="X103" s="8">
        <f t="shared" si="13"/>
        <v>100</v>
      </c>
    </row>
    <row r="104" spans="1:24" ht="15" customHeight="1">
      <c r="A104" s="9">
        <v>46054</v>
      </c>
      <c r="B104" s="2" t="s">
        <v>45</v>
      </c>
      <c r="C104" s="2" t="s">
        <v>180</v>
      </c>
      <c r="D104" s="2" t="s">
        <v>1418</v>
      </c>
      <c r="E104" s="2" t="s">
        <v>1419</v>
      </c>
      <c r="F104" s="2" t="s">
        <v>1420</v>
      </c>
      <c r="G104" s="2" t="s">
        <v>23</v>
      </c>
      <c r="H104" s="2" t="s">
        <v>24</v>
      </c>
      <c r="I104" s="6">
        <v>30</v>
      </c>
      <c r="J104" s="6">
        <v>3660</v>
      </c>
      <c r="K104" s="6">
        <v>88488</v>
      </c>
      <c r="L104" s="6">
        <v>92148</v>
      </c>
      <c r="M104" s="6">
        <v>0</v>
      </c>
      <c r="N104" s="6">
        <v>0</v>
      </c>
      <c r="O104" s="6">
        <v>0</v>
      </c>
      <c r="P104" s="2" t="s">
        <v>25</v>
      </c>
      <c r="Q104" s="2" t="s">
        <v>32</v>
      </c>
      <c r="R104" s="2" t="s">
        <v>27</v>
      </c>
      <c r="S104" s="5">
        <v>1</v>
      </c>
      <c r="T104" s="1">
        <v>0</v>
      </c>
      <c r="U104" s="2">
        <f t="shared" si="14"/>
        <v>1</v>
      </c>
      <c r="V104" s="1">
        <v>0</v>
      </c>
      <c r="W104" s="2">
        <f t="shared" si="12"/>
        <v>1</v>
      </c>
      <c r="X104" s="8">
        <f t="shared" si="13"/>
        <v>100</v>
      </c>
    </row>
    <row r="105" spans="1:24" ht="15" customHeight="1">
      <c r="A105" s="9">
        <v>46054</v>
      </c>
      <c r="B105" s="2" t="s">
        <v>45</v>
      </c>
      <c r="C105" s="2" t="s">
        <v>180</v>
      </c>
      <c r="D105" s="2" t="s">
        <v>1558</v>
      </c>
      <c r="E105" s="2" t="s">
        <v>1402</v>
      </c>
      <c r="F105" s="2" t="s">
        <v>1559</v>
      </c>
      <c r="G105" s="2" t="s">
        <v>49</v>
      </c>
      <c r="H105" s="2" t="s">
        <v>24</v>
      </c>
      <c r="I105" s="6">
        <v>29.84</v>
      </c>
      <c r="J105" s="6">
        <v>50</v>
      </c>
      <c r="K105" s="6">
        <v>1180</v>
      </c>
      <c r="L105" s="6">
        <v>1230</v>
      </c>
      <c r="M105" s="6">
        <v>0</v>
      </c>
      <c r="N105" s="6">
        <v>50</v>
      </c>
      <c r="O105" s="6">
        <v>50</v>
      </c>
      <c r="P105" s="2" t="s">
        <v>25</v>
      </c>
      <c r="Q105" s="2" t="s">
        <v>32</v>
      </c>
      <c r="R105" s="2" t="s">
        <v>50</v>
      </c>
      <c r="S105" s="5">
        <v>1</v>
      </c>
      <c r="T105" s="1">
        <v>0</v>
      </c>
      <c r="U105" s="2">
        <f>T105+S105</f>
        <v>1</v>
      </c>
      <c r="V105" s="1">
        <v>0</v>
      </c>
      <c r="W105" s="2">
        <f>V105+U105</f>
        <v>1</v>
      </c>
      <c r="X105" s="8" t="e">
        <v>#DIV/0!</v>
      </c>
    </row>
    <row r="106" spans="1:24" ht="15" customHeight="1">
      <c r="A106" s="9">
        <v>46054</v>
      </c>
      <c r="B106" s="2" t="s">
        <v>45</v>
      </c>
      <c r="C106" s="2" t="s">
        <v>180</v>
      </c>
      <c r="D106" s="2" t="s">
        <v>267</v>
      </c>
      <c r="E106" s="2" t="s">
        <v>166</v>
      </c>
      <c r="F106" s="2" t="s">
        <v>268</v>
      </c>
      <c r="G106" s="2" t="s">
        <v>65</v>
      </c>
      <c r="H106" s="2" t="s">
        <v>24</v>
      </c>
      <c r="I106" s="6">
        <v>37</v>
      </c>
      <c r="J106" s="6">
        <v>0</v>
      </c>
      <c r="K106" s="6">
        <v>12258</v>
      </c>
      <c r="L106" s="6">
        <v>0</v>
      </c>
      <c r="M106" s="6">
        <v>0</v>
      </c>
      <c r="N106" s="6">
        <v>1022</v>
      </c>
      <c r="O106" s="6">
        <v>13280</v>
      </c>
      <c r="P106" s="2" t="s">
        <v>25</v>
      </c>
      <c r="Q106" s="2" t="s">
        <v>32</v>
      </c>
      <c r="R106" s="2" t="s">
        <v>50</v>
      </c>
      <c r="S106" s="5">
        <v>1</v>
      </c>
      <c r="T106" s="1">
        <v>0</v>
      </c>
      <c r="U106" s="2">
        <f>T106+S106</f>
        <v>1</v>
      </c>
      <c r="V106" s="1">
        <v>0</v>
      </c>
      <c r="W106" s="2">
        <f t="shared" ref="W106:W107" si="15">V106+U106</f>
        <v>1</v>
      </c>
      <c r="X106" s="8">
        <f t="shared" ref="X106:X110" si="16">100/U106*S106</f>
        <v>100</v>
      </c>
    </row>
    <row r="107" spans="1:24" ht="15" customHeight="1">
      <c r="A107" s="9">
        <v>46054</v>
      </c>
      <c r="B107" s="2" t="s">
        <v>45</v>
      </c>
      <c r="C107" s="2" t="s">
        <v>180</v>
      </c>
      <c r="D107" s="2" t="s">
        <v>269</v>
      </c>
      <c r="E107" s="2" t="s">
        <v>270</v>
      </c>
      <c r="F107" s="2" t="s">
        <v>271</v>
      </c>
      <c r="G107" s="2" t="s">
        <v>65</v>
      </c>
      <c r="H107" s="2" t="s">
        <v>24</v>
      </c>
      <c r="I107" s="6">
        <v>35</v>
      </c>
      <c r="J107" s="6">
        <v>2718</v>
      </c>
      <c r="K107" s="6">
        <v>50921</v>
      </c>
      <c r="L107" s="6">
        <v>53639</v>
      </c>
      <c r="M107" s="6">
        <v>0</v>
      </c>
      <c r="N107" s="6">
        <v>0</v>
      </c>
      <c r="O107" s="6">
        <v>0</v>
      </c>
      <c r="P107" s="2" t="s">
        <v>25</v>
      </c>
      <c r="Q107" s="2" t="s">
        <v>32</v>
      </c>
      <c r="R107" s="2" t="s">
        <v>126</v>
      </c>
      <c r="S107" s="5">
        <v>1</v>
      </c>
      <c r="T107" s="1">
        <v>0</v>
      </c>
      <c r="U107" s="2">
        <f t="shared" ref="U107" si="17">T107+S107</f>
        <v>1</v>
      </c>
      <c r="V107" s="1">
        <v>0</v>
      </c>
      <c r="W107" s="2">
        <f t="shared" si="15"/>
        <v>1</v>
      </c>
      <c r="X107" s="8">
        <f t="shared" si="16"/>
        <v>100</v>
      </c>
    </row>
    <row r="108" spans="1:24" ht="15" customHeight="1">
      <c r="A108" s="9">
        <v>46054</v>
      </c>
      <c r="B108" s="2" t="s">
        <v>45</v>
      </c>
      <c r="C108" s="2" t="s">
        <v>180</v>
      </c>
      <c r="D108" s="2" t="s">
        <v>272</v>
      </c>
      <c r="E108" s="2" t="s">
        <v>273</v>
      </c>
      <c r="F108" s="2" t="s">
        <v>274</v>
      </c>
      <c r="G108" s="2" t="s">
        <v>65</v>
      </c>
      <c r="H108" s="2" t="s">
        <v>24</v>
      </c>
      <c r="I108" s="6">
        <v>22.38</v>
      </c>
      <c r="J108" s="6">
        <v>6358</v>
      </c>
      <c r="K108" s="6">
        <v>130277</v>
      </c>
      <c r="L108" s="6">
        <v>136635</v>
      </c>
      <c r="M108" s="6">
        <v>0</v>
      </c>
      <c r="N108" s="6">
        <v>0</v>
      </c>
      <c r="O108" s="6">
        <v>0</v>
      </c>
      <c r="P108" s="2" t="s">
        <v>25</v>
      </c>
      <c r="Q108" s="2" t="s">
        <v>32</v>
      </c>
      <c r="R108" s="2" t="s">
        <v>126</v>
      </c>
      <c r="S108" s="5">
        <v>1</v>
      </c>
      <c r="T108" s="1">
        <v>0</v>
      </c>
      <c r="U108" s="2">
        <f t="shared" ref="U108:U110" si="18">T108+S108</f>
        <v>1</v>
      </c>
      <c r="V108" s="1">
        <v>0</v>
      </c>
      <c r="W108" s="2">
        <f>V108+U108</f>
        <v>1</v>
      </c>
      <c r="X108" s="8">
        <f t="shared" si="16"/>
        <v>100</v>
      </c>
    </row>
    <row r="109" spans="1:24" ht="15" customHeight="1">
      <c r="A109" s="9">
        <v>46054</v>
      </c>
      <c r="B109" s="2" t="s">
        <v>45</v>
      </c>
      <c r="C109" s="2" t="s">
        <v>180</v>
      </c>
      <c r="D109" s="2" t="s">
        <v>275</v>
      </c>
      <c r="E109" s="2" t="s">
        <v>276</v>
      </c>
      <c r="F109" s="2" t="s">
        <v>277</v>
      </c>
      <c r="G109" s="2" t="s">
        <v>278</v>
      </c>
      <c r="H109" s="2" t="s">
        <v>24</v>
      </c>
      <c r="I109" s="6">
        <v>37.299999999999997</v>
      </c>
      <c r="J109" s="6">
        <v>3590325</v>
      </c>
      <c r="K109" s="6">
        <v>1180</v>
      </c>
      <c r="L109" s="6">
        <v>0</v>
      </c>
      <c r="M109" s="6">
        <v>0</v>
      </c>
      <c r="N109" s="6">
        <v>150</v>
      </c>
      <c r="O109" s="6">
        <v>3591655</v>
      </c>
      <c r="P109" s="2" t="s">
        <v>25</v>
      </c>
      <c r="Q109" s="2" t="s">
        <v>32</v>
      </c>
      <c r="R109" s="2" t="s">
        <v>27</v>
      </c>
      <c r="S109" s="5">
        <v>1</v>
      </c>
      <c r="T109" s="1">
        <v>0</v>
      </c>
      <c r="U109" s="2">
        <f t="shared" si="18"/>
        <v>1</v>
      </c>
      <c r="V109" s="1">
        <v>0</v>
      </c>
      <c r="W109" s="2">
        <f>V109+U109</f>
        <v>1</v>
      </c>
      <c r="X109" s="8">
        <f t="shared" si="16"/>
        <v>100</v>
      </c>
    </row>
    <row r="110" spans="1:24" ht="15" customHeight="1">
      <c r="A110" s="9">
        <v>46054</v>
      </c>
      <c r="B110" s="2" t="s">
        <v>45</v>
      </c>
      <c r="C110" s="2" t="s">
        <v>180</v>
      </c>
      <c r="D110" s="2" t="s">
        <v>279</v>
      </c>
      <c r="E110" s="2" t="s">
        <v>280</v>
      </c>
      <c r="F110" s="2" t="s">
        <v>217</v>
      </c>
      <c r="G110" s="2"/>
      <c r="H110" s="2" t="s">
        <v>24</v>
      </c>
      <c r="I110" s="6">
        <v>31</v>
      </c>
      <c r="J110" s="6">
        <v>50</v>
      </c>
      <c r="K110" s="6">
        <v>1180</v>
      </c>
      <c r="L110" s="6">
        <v>1230</v>
      </c>
      <c r="M110" s="6">
        <v>0</v>
      </c>
      <c r="N110" s="6">
        <v>50</v>
      </c>
      <c r="O110" s="6">
        <v>50</v>
      </c>
      <c r="P110" s="2" t="s">
        <v>25</v>
      </c>
      <c r="Q110" s="2" t="s">
        <v>32</v>
      </c>
      <c r="R110" s="2" t="s">
        <v>27</v>
      </c>
      <c r="S110" s="5">
        <v>1</v>
      </c>
      <c r="T110" s="1">
        <v>0</v>
      </c>
      <c r="U110" s="2">
        <f t="shared" si="18"/>
        <v>1</v>
      </c>
      <c r="V110" s="1">
        <v>0</v>
      </c>
      <c r="W110" s="2">
        <f>V110+U110</f>
        <v>1</v>
      </c>
      <c r="X110" s="8">
        <f t="shared" si="16"/>
        <v>100</v>
      </c>
    </row>
    <row r="111" spans="1:24">
      <c r="A111" s="9">
        <v>46054</v>
      </c>
      <c r="B111" s="2" t="s">
        <v>95</v>
      </c>
      <c r="C111" s="2" t="s">
        <v>180</v>
      </c>
      <c r="D111" s="2" t="s">
        <v>281</v>
      </c>
      <c r="E111" s="2" t="s">
        <v>101</v>
      </c>
      <c r="F111" s="2" t="s">
        <v>282</v>
      </c>
      <c r="G111" s="2"/>
      <c r="H111" s="2" t="s">
        <v>24</v>
      </c>
      <c r="I111" s="6">
        <v>14</v>
      </c>
      <c r="J111" s="6">
        <v>1808147</v>
      </c>
      <c r="K111" s="6">
        <v>1936</v>
      </c>
      <c r="L111" s="6">
        <v>0</v>
      </c>
      <c r="M111" s="6">
        <v>0</v>
      </c>
      <c r="N111" s="6">
        <v>50</v>
      </c>
      <c r="O111" s="6">
        <v>1810133</v>
      </c>
      <c r="P111" s="2" t="s">
        <v>25</v>
      </c>
      <c r="Q111" s="2" t="s">
        <v>32</v>
      </c>
      <c r="R111" s="2" t="s">
        <v>50</v>
      </c>
      <c r="S111" s="5">
        <v>1</v>
      </c>
      <c r="T111" s="1">
        <v>0</v>
      </c>
      <c r="U111" s="2">
        <f t="shared" ref="U111:U112" si="19">T111+S111</f>
        <v>1</v>
      </c>
      <c r="V111" s="1">
        <v>0</v>
      </c>
      <c r="W111" s="2">
        <f t="shared" ref="W111:W116" si="20">V111+U111</f>
        <v>1</v>
      </c>
      <c r="X111" s="8">
        <f t="shared" ref="X111:X113" si="21">100/U111*S111</f>
        <v>100</v>
      </c>
    </row>
    <row r="112" spans="1:24" ht="15" customHeight="1">
      <c r="A112" s="9">
        <v>46054</v>
      </c>
      <c r="B112" s="2" t="s">
        <v>95</v>
      </c>
      <c r="C112" s="2" t="s">
        <v>180</v>
      </c>
      <c r="D112" s="2" t="s">
        <v>283</v>
      </c>
      <c r="E112" s="2" t="s">
        <v>284</v>
      </c>
      <c r="F112" s="2" t="s">
        <v>285</v>
      </c>
      <c r="G112" s="2"/>
      <c r="H112" s="2" t="s">
        <v>24</v>
      </c>
      <c r="I112" s="6">
        <v>22.38</v>
      </c>
      <c r="J112" s="6">
        <v>40615</v>
      </c>
      <c r="K112" s="6">
        <v>127597</v>
      </c>
      <c r="L112" s="6">
        <v>131947</v>
      </c>
      <c r="M112" s="6">
        <v>0</v>
      </c>
      <c r="N112" s="6">
        <v>0</v>
      </c>
      <c r="O112" s="6">
        <v>36265</v>
      </c>
      <c r="P112" s="2" t="s">
        <v>25</v>
      </c>
      <c r="Q112" s="2" t="s">
        <v>32</v>
      </c>
      <c r="R112" s="2" t="s">
        <v>126</v>
      </c>
      <c r="S112" s="5">
        <v>1</v>
      </c>
      <c r="T112" s="1">
        <v>0</v>
      </c>
      <c r="U112" s="2">
        <f t="shared" si="19"/>
        <v>1</v>
      </c>
      <c r="V112" s="1">
        <v>0</v>
      </c>
      <c r="W112" s="2">
        <f t="shared" si="20"/>
        <v>1</v>
      </c>
      <c r="X112" s="8">
        <f t="shared" si="21"/>
        <v>100</v>
      </c>
    </row>
    <row r="113" spans="1:24" ht="15" customHeight="1">
      <c r="A113" s="9">
        <v>46054</v>
      </c>
      <c r="B113" s="2" t="s">
        <v>95</v>
      </c>
      <c r="C113" s="2" t="s">
        <v>180</v>
      </c>
      <c r="D113" s="2" t="s">
        <v>286</v>
      </c>
      <c r="E113" s="2" t="s">
        <v>287</v>
      </c>
      <c r="F113" s="2" t="s">
        <v>278</v>
      </c>
      <c r="G113" s="2" t="s">
        <v>65</v>
      </c>
      <c r="H113" s="2" t="s">
        <v>24</v>
      </c>
      <c r="I113" s="6">
        <v>22.38</v>
      </c>
      <c r="J113" s="6">
        <v>14884</v>
      </c>
      <c r="K113" s="6">
        <v>4966</v>
      </c>
      <c r="L113" s="6">
        <v>19850</v>
      </c>
      <c r="M113" s="6">
        <v>0</v>
      </c>
      <c r="N113" s="6">
        <v>0</v>
      </c>
      <c r="O113" s="6">
        <v>0</v>
      </c>
      <c r="P113" s="2" t="s">
        <v>25</v>
      </c>
      <c r="Q113" s="2" t="s">
        <v>32</v>
      </c>
      <c r="R113" s="2" t="s">
        <v>27</v>
      </c>
      <c r="S113" s="5">
        <v>1</v>
      </c>
      <c r="T113" s="1">
        <v>0</v>
      </c>
      <c r="U113" s="2">
        <f t="shared" ref="U113:U119" si="22">T113+S113</f>
        <v>1</v>
      </c>
      <c r="V113" s="1">
        <v>0</v>
      </c>
      <c r="W113" s="2">
        <f>V113+U113</f>
        <v>1</v>
      </c>
      <c r="X113" s="8">
        <f t="shared" si="21"/>
        <v>100</v>
      </c>
    </row>
    <row r="114" spans="1:24" ht="15" customHeight="1">
      <c r="A114" s="9">
        <v>46054</v>
      </c>
      <c r="B114" s="2" t="s">
        <v>95</v>
      </c>
      <c r="C114" s="2" t="s">
        <v>180</v>
      </c>
      <c r="D114" s="2" t="s">
        <v>1416</v>
      </c>
      <c r="E114" s="2" t="s">
        <v>1417</v>
      </c>
      <c r="F114" s="2" t="s">
        <v>224</v>
      </c>
      <c r="G114" s="2" t="s">
        <v>65</v>
      </c>
      <c r="H114" s="2" t="s">
        <v>24</v>
      </c>
      <c r="I114" s="6">
        <v>5</v>
      </c>
      <c r="J114" s="6">
        <v>8876</v>
      </c>
      <c r="K114" s="6">
        <v>66072</v>
      </c>
      <c r="L114" s="6">
        <v>74948</v>
      </c>
      <c r="M114" s="6">
        <v>0</v>
      </c>
      <c r="N114" s="6">
        <v>0</v>
      </c>
      <c r="O114" s="6">
        <v>0</v>
      </c>
      <c r="P114" s="2" t="s">
        <v>25</v>
      </c>
      <c r="Q114" s="2" t="s">
        <v>32</v>
      </c>
      <c r="R114" s="2" t="s">
        <v>27</v>
      </c>
      <c r="S114" s="5">
        <v>0</v>
      </c>
      <c r="T114" s="1">
        <v>1</v>
      </c>
      <c r="U114" s="2">
        <f t="shared" si="22"/>
        <v>1</v>
      </c>
      <c r="V114" s="1">
        <v>0</v>
      </c>
      <c r="W114" s="2">
        <f t="shared" si="20"/>
        <v>1</v>
      </c>
      <c r="X114" s="8">
        <f t="shared" ref="X114:X116" si="23">100/U114*S114</f>
        <v>0</v>
      </c>
    </row>
    <row r="115" spans="1:24" ht="15" customHeight="1">
      <c r="A115" s="9">
        <v>46054</v>
      </c>
      <c r="B115" s="2" t="s">
        <v>95</v>
      </c>
      <c r="C115" s="2" t="s">
        <v>180</v>
      </c>
      <c r="D115" s="2" t="s">
        <v>288</v>
      </c>
      <c r="E115" s="2" t="s">
        <v>273</v>
      </c>
      <c r="F115" s="2" t="s">
        <v>289</v>
      </c>
      <c r="G115" s="2" t="s">
        <v>65</v>
      </c>
      <c r="H115" s="2" t="s">
        <v>94</v>
      </c>
      <c r="I115" s="6">
        <v>22.38</v>
      </c>
      <c r="J115" s="6">
        <v>-726</v>
      </c>
      <c r="K115" s="6">
        <v>0</v>
      </c>
      <c r="L115" s="6">
        <v>0</v>
      </c>
      <c r="M115" s="6">
        <v>0</v>
      </c>
      <c r="N115" s="6">
        <v>0</v>
      </c>
      <c r="O115" s="6">
        <v>-726</v>
      </c>
      <c r="P115" s="2" t="s">
        <v>25</v>
      </c>
      <c r="Q115" s="2" t="s">
        <v>26</v>
      </c>
      <c r="R115" s="2" t="s">
        <v>50</v>
      </c>
      <c r="S115" s="5">
        <v>0</v>
      </c>
      <c r="T115" s="1">
        <v>0</v>
      </c>
      <c r="U115" s="2">
        <f>T115+S115</f>
        <v>0</v>
      </c>
      <c r="V115" s="1">
        <v>1</v>
      </c>
      <c r="W115" s="2">
        <f>V115+U115</f>
        <v>1</v>
      </c>
      <c r="X115" s="8" t="e">
        <f t="shared" si="23"/>
        <v>#DIV/0!</v>
      </c>
    </row>
    <row r="116" spans="1:24" ht="15" customHeight="1">
      <c r="A116" s="9">
        <v>46054</v>
      </c>
      <c r="B116" s="2" t="s">
        <v>95</v>
      </c>
      <c r="C116" s="2" t="s">
        <v>180</v>
      </c>
      <c r="D116" s="2" t="s">
        <v>290</v>
      </c>
      <c r="E116" s="2" t="s">
        <v>270</v>
      </c>
      <c r="F116" s="2" t="s">
        <v>291</v>
      </c>
      <c r="G116" s="2" t="s">
        <v>65</v>
      </c>
      <c r="H116" s="2" t="s">
        <v>24</v>
      </c>
      <c r="I116" s="6">
        <v>22.38</v>
      </c>
      <c r="J116" s="6">
        <v>53</v>
      </c>
      <c r="K116" s="6">
        <v>1180</v>
      </c>
      <c r="L116" s="6">
        <v>1233</v>
      </c>
      <c r="M116" s="6">
        <v>0</v>
      </c>
      <c r="N116" s="6">
        <v>0</v>
      </c>
      <c r="O116" s="6">
        <v>0</v>
      </c>
      <c r="P116" s="2" t="s">
        <v>25</v>
      </c>
      <c r="Q116" s="2" t="s">
        <v>32</v>
      </c>
      <c r="R116" s="2" t="s">
        <v>126</v>
      </c>
      <c r="S116" s="5">
        <v>1</v>
      </c>
      <c r="T116" s="1">
        <v>0</v>
      </c>
      <c r="U116" s="2">
        <f t="shared" si="22"/>
        <v>1</v>
      </c>
      <c r="V116" s="1">
        <v>0</v>
      </c>
      <c r="W116" s="2">
        <f t="shared" si="20"/>
        <v>1</v>
      </c>
      <c r="X116" s="8">
        <f t="shared" si="23"/>
        <v>100</v>
      </c>
    </row>
    <row r="117" spans="1:24" ht="15" customHeight="1">
      <c r="A117" s="9">
        <v>46054</v>
      </c>
      <c r="B117" s="2" t="s">
        <v>95</v>
      </c>
      <c r="C117" s="2" t="s">
        <v>180</v>
      </c>
      <c r="D117" s="2" t="s">
        <v>292</v>
      </c>
      <c r="E117" s="2" t="s">
        <v>1402</v>
      </c>
      <c r="F117" s="2" t="s">
        <v>293</v>
      </c>
      <c r="G117" s="2" t="s">
        <v>294</v>
      </c>
      <c r="H117" s="2" t="s">
        <v>24</v>
      </c>
      <c r="I117" s="6">
        <v>25</v>
      </c>
      <c r="J117" s="6">
        <v>8600</v>
      </c>
      <c r="K117" s="6">
        <v>175624</v>
      </c>
      <c r="L117" s="6">
        <v>184224</v>
      </c>
      <c r="M117" s="6">
        <v>0</v>
      </c>
      <c r="N117" s="6">
        <v>0</v>
      </c>
      <c r="O117" s="6">
        <v>0</v>
      </c>
      <c r="P117" s="2" t="s">
        <v>25</v>
      </c>
      <c r="Q117" s="2" t="s">
        <v>32</v>
      </c>
      <c r="R117" s="2" t="s">
        <v>50</v>
      </c>
      <c r="S117" s="5">
        <v>0</v>
      </c>
      <c r="T117" s="1">
        <v>1</v>
      </c>
      <c r="U117" s="2">
        <f t="shared" si="22"/>
        <v>1</v>
      </c>
      <c r="V117" s="1">
        <v>0</v>
      </c>
      <c r="W117" s="2">
        <f>V117+U117</f>
        <v>1</v>
      </c>
      <c r="X117" s="8">
        <v>0</v>
      </c>
    </row>
    <row r="118" spans="1:24" ht="15" customHeight="1">
      <c r="A118" s="9">
        <v>46054</v>
      </c>
      <c r="B118" s="2" t="s">
        <v>18</v>
      </c>
      <c r="C118" s="2" t="s">
        <v>295</v>
      </c>
      <c r="D118" s="2" t="s">
        <v>296</v>
      </c>
      <c r="E118" s="2" t="s">
        <v>154</v>
      </c>
      <c r="F118" s="2" t="s">
        <v>297</v>
      </c>
      <c r="G118" s="2"/>
      <c r="H118" s="2" t="s">
        <v>24</v>
      </c>
      <c r="I118" s="6">
        <v>7.96</v>
      </c>
      <c r="J118" s="6">
        <v>0</v>
      </c>
      <c r="K118" s="6">
        <v>0</v>
      </c>
      <c r="L118" s="6">
        <v>0</v>
      </c>
      <c r="M118" s="6">
        <v>0</v>
      </c>
      <c r="N118" s="6">
        <v>0</v>
      </c>
      <c r="O118" s="6">
        <v>0</v>
      </c>
      <c r="P118" s="2" t="s">
        <v>25</v>
      </c>
      <c r="Q118" s="2" t="s">
        <v>26</v>
      </c>
      <c r="R118" s="2" t="s">
        <v>27</v>
      </c>
      <c r="S118" s="5">
        <v>0</v>
      </c>
      <c r="T118" s="1">
        <v>0</v>
      </c>
      <c r="U118" s="2">
        <f>T118+S118</f>
        <v>0</v>
      </c>
      <c r="V118" s="1">
        <v>1</v>
      </c>
      <c r="W118" s="2">
        <f t="shared" ref="W118:W127" si="24">V118+U118</f>
        <v>1</v>
      </c>
      <c r="X118" s="8" t="e">
        <f t="shared" ref="X118:X127" si="25">100/U118*S118</f>
        <v>#DIV/0!</v>
      </c>
    </row>
    <row r="119" spans="1:24" ht="15" customHeight="1">
      <c r="A119" s="9">
        <v>46054</v>
      </c>
      <c r="B119" s="2" t="s">
        <v>18</v>
      </c>
      <c r="C119" s="2" t="s">
        <v>295</v>
      </c>
      <c r="D119" s="2" t="s">
        <v>1421</v>
      </c>
      <c r="E119" s="2" t="s">
        <v>1422</v>
      </c>
      <c r="F119" s="2" t="s">
        <v>1423</v>
      </c>
      <c r="G119" s="2" t="s">
        <v>1424</v>
      </c>
      <c r="H119" s="2" t="s">
        <v>24</v>
      </c>
      <c r="I119" s="6">
        <v>2.08</v>
      </c>
      <c r="J119" s="6">
        <v>546760</v>
      </c>
      <c r="K119" s="6">
        <v>12142</v>
      </c>
      <c r="L119" s="6">
        <v>0</v>
      </c>
      <c r="M119" s="6">
        <v>0</v>
      </c>
      <c r="N119" s="6">
        <v>1532</v>
      </c>
      <c r="O119" s="6">
        <v>560434</v>
      </c>
      <c r="P119" s="2" t="s">
        <v>31</v>
      </c>
      <c r="Q119" s="2" t="s">
        <v>32</v>
      </c>
      <c r="R119" s="2" t="s">
        <v>298</v>
      </c>
      <c r="S119" s="5">
        <v>0</v>
      </c>
      <c r="T119" s="1">
        <v>1</v>
      </c>
      <c r="U119" s="2">
        <f t="shared" si="22"/>
        <v>1</v>
      </c>
      <c r="V119" s="1">
        <v>0</v>
      </c>
      <c r="W119" s="2">
        <f t="shared" si="24"/>
        <v>1</v>
      </c>
      <c r="X119" s="8">
        <f t="shared" si="25"/>
        <v>0</v>
      </c>
    </row>
    <row r="120" spans="1:24" ht="15" customHeight="1">
      <c r="A120" s="9">
        <v>46054</v>
      </c>
      <c r="B120" s="2" t="s">
        <v>45</v>
      </c>
      <c r="C120" s="2" t="s">
        <v>295</v>
      </c>
      <c r="D120" s="2" t="s">
        <v>299</v>
      </c>
      <c r="E120" s="2" t="s">
        <v>300</v>
      </c>
      <c r="F120" s="2" t="s">
        <v>301</v>
      </c>
      <c r="G120" s="2" t="s">
        <v>302</v>
      </c>
      <c r="H120" s="2" t="s">
        <v>24</v>
      </c>
      <c r="I120" s="6">
        <v>29.84</v>
      </c>
      <c r="J120" s="6">
        <v>228226</v>
      </c>
      <c r="K120" s="6">
        <v>0</v>
      </c>
      <c r="L120" s="6">
        <v>0</v>
      </c>
      <c r="M120" s="6">
        <v>0</v>
      </c>
      <c r="N120" s="6">
        <v>0</v>
      </c>
      <c r="O120" s="6">
        <v>228226</v>
      </c>
      <c r="P120" s="2" t="s">
        <v>40</v>
      </c>
      <c r="Q120" s="2" t="s">
        <v>26</v>
      </c>
      <c r="R120" s="2" t="s">
        <v>126</v>
      </c>
      <c r="S120" s="5">
        <v>0</v>
      </c>
      <c r="T120" s="1">
        <v>0</v>
      </c>
      <c r="U120" s="2">
        <f>T120+S120</f>
        <v>0</v>
      </c>
      <c r="V120" s="1">
        <v>1</v>
      </c>
      <c r="W120" s="2">
        <f t="shared" si="24"/>
        <v>1</v>
      </c>
      <c r="X120" s="8" t="e">
        <f t="shared" si="25"/>
        <v>#DIV/0!</v>
      </c>
    </row>
    <row r="121" spans="1:24" ht="15" customHeight="1">
      <c r="A121" s="9">
        <v>46054</v>
      </c>
      <c r="B121" s="2" t="s">
        <v>45</v>
      </c>
      <c r="C121" s="2" t="s">
        <v>295</v>
      </c>
      <c r="D121" s="2" t="s">
        <v>303</v>
      </c>
      <c r="E121" s="2" t="s">
        <v>117</v>
      </c>
      <c r="F121" s="2" t="s">
        <v>304</v>
      </c>
      <c r="G121" s="2" t="s">
        <v>65</v>
      </c>
      <c r="H121" s="2" t="s">
        <v>24</v>
      </c>
      <c r="I121" s="6">
        <v>48</v>
      </c>
      <c r="J121" s="6">
        <v>15317</v>
      </c>
      <c r="K121" s="6">
        <v>111997</v>
      </c>
      <c r="L121" s="6">
        <v>127314</v>
      </c>
      <c r="M121" s="6">
        <v>0</v>
      </c>
      <c r="N121" s="6">
        <v>0</v>
      </c>
      <c r="O121" s="6">
        <v>0</v>
      </c>
      <c r="P121" s="2" t="s">
        <v>25</v>
      </c>
      <c r="Q121" s="2" t="s">
        <v>32</v>
      </c>
      <c r="R121" s="2" t="s">
        <v>27</v>
      </c>
      <c r="S121" s="5">
        <v>1</v>
      </c>
      <c r="T121" s="1">
        <v>0</v>
      </c>
      <c r="U121" s="2">
        <f t="shared" ref="U121:U125" si="26">T121+S121</f>
        <v>1</v>
      </c>
      <c r="V121" s="1">
        <v>0</v>
      </c>
      <c r="W121" s="2">
        <f t="shared" si="24"/>
        <v>1</v>
      </c>
      <c r="X121" s="8">
        <f t="shared" si="25"/>
        <v>100</v>
      </c>
    </row>
    <row r="122" spans="1:24" ht="15" customHeight="1">
      <c r="A122" s="9">
        <v>46054</v>
      </c>
      <c r="B122" s="2" t="s">
        <v>45</v>
      </c>
      <c r="C122" s="2" t="s">
        <v>295</v>
      </c>
      <c r="D122" s="2" t="s">
        <v>305</v>
      </c>
      <c r="E122" s="2" t="s">
        <v>306</v>
      </c>
      <c r="F122" s="2" t="s">
        <v>307</v>
      </c>
      <c r="G122" s="2" t="s">
        <v>65</v>
      </c>
      <c r="H122" s="2" t="s">
        <v>24</v>
      </c>
      <c r="I122" s="6">
        <v>35</v>
      </c>
      <c r="J122" s="6">
        <v>66581</v>
      </c>
      <c r="K122" s="6">
        <v>67907</v>
      </c>
      <c r="L122" s="6">
        <v>136758</v>
      </c>
      <c r="M122" s="6">
        <v>0</v>
      </c>
      <c r="N122" s="6">
        <v>2270</v>
      </c>
      <c r="O122" s="6">
        <v>0</v>
      </c>
      <c r="P122" s="2" t="s">
        <v>25</v>
      </c>
      <c r="Q122" s="2" t="s">
        <v>32</v>
      </c>
      <c r="R122" s="2" t="s">
        <v>27</v>
      </c>
      <c r="S122" s="5">
        <v>1</v>
      </c>
      <c r="T122" s="1">
        <v>0</v>
      </c>
      <c r="U122" s="2">
        <f t="shared" si="26"/>
        <v>1</v>
      </c>
      <c r="V122" s="1">
        <v>0</v>
      </c>
      <c r="W122" s="2">
        <f>V122+U122</f>
        <v>1</v>
      </c>
      <c r="X122" s="8">
        <f t="shared" si="25"/>
        <v>100</v>
      </c>
    </row>
    <row r="123" spans="1:24" ht="15" customHeight="1">
      <c r="A123" s="9">
        <v>46054</v>
      </c>
      <c r="B123" s="2" t="s">
        <v>45</v>
      </c>
      <c r="C123" s="2" t="s">
        <v>295</v>
      </c>
      <c r="D123" s="2" t="s">
        <v>308</v>
      </c>
      <c r="E123" s="2" t="s">
        <v>166</v>
      </c>
      <c r="F123" s="2" t="s">
        <v>309</v>
      </c>
      <c r="G123" s="2" t="s">
        <v>23</v>
      </c>
      <c r="H123" s="2" t="s">
        <v>24</v>
      </c>
      <c r="I123" s="6">
        <v>33</v>
      </c>
      <c r="J123" s="6">
        <v>16194</v>
      </c>
      <c r="K123" s="6">
        <v>428792</v>
      </c>
      <c r="L123" s="6">
        <v>444986</v>
      </c>
      <c r="M123" s="6">
        <v>0</v>
      </c>
      <c r="N123" s="6">
        <v>0</v>
      </c>
      <c r="O123" s="6">
        <v>0</v>
      </c>
      <c r="P123" s="2" t="s">
        <v>25</v>
      </c>
      <c r="Q123" s="2" t="s">
        <v>32</v>
      </c>
      <c r="R123" s="2" t="s">
        <v>27</v>
      </c>
      <c r="S123" s="5">
        <v>1</v>
      </c>
      <c r="T123" s="1">
        <v>0</v>
      </c>
      <c r="U123" s="2">
        <f t="shared" si="26"/>
        <v>1</v>
      </c>
      <c r="V123" s="1">
        <v>0</v>
      </c>
      <c r="W123" s="2">
        <f t="shared" si="24"/>
        <v>1</v>
      </c>
      <c r="X123" s="8">
        <f t="shared" si="25"/>
        <v>100</v>
      </c>
    </row>
    <row r="124" spans="1:24" ht="15" customHeight="1">
      <c r="A124" s="9">
        <v>46054</v>
      </c>
      <c r="B124" s="2" t="s">
        <v>45</v>
      </c>
      <c r="C124" s="2" t="s">
        <v>295</v>
      </c>
      <c r="D124" s="2" t="s">
        <v>310</v>
      </c>
      <c r="E124" s="2" t="s">
        <v>311</v>
      </c>
      <c r="F124" s="2" t="s">
        <v>312</v>
      </c>
      <c r="G124" s="2" t="s">
        <v>313</v>
      </c>
      <c r="H124" s="2" t="s">
        <v>24</v>
      </c>
      <c r="I124" s="6">
        <v>29.84</v>
      </c>
      <c r="J124" s="6">
        <v>-1140</v>
      </c>
      <c r="K124" s="6">
        <v>36849</v>
      </c>
      <c r="L124" s="6">
        <v>35709</v>
      </c>
      <c r="M124" s="6">
        <v>0</v>
      </c>
      <c r="N124" s="6">
        <v>0</v>
      </c>
      <c r="O124" s="6">
        <v>0</v>
      </c>
      <c r="P124" s="2" t="s">
        <v>25</v>
      </c>
      <c r="Q124" s="2" t="s">
        <v>32</v>
      </c>
      <c r="R124" s="2" t="s">
        <v>126</v>
      </c>
      <c r="S124" s="5">
        <v>1</v>
      </c>
      <c r="T124" s="1">
        <v>0</v>
      </c>
      <c r="U124" s="2">
        <f t="shared" si="26"/>
        <v>1</v>
      </c>
      <c r="V124" s="1">
        <v>0</v>
      </c>
      <c r="W124" s="2">
        <f t="shared" si="24"/>
        <v>1</v>
      </c>
      <c r="X124" s="8">
        <f t="shared" si="25"/>
        <v>100</v>
      </c>
    </row>
    <row r="125" spans="1:24" ht="15" customHeight="1">
      <c r="A125" s="9">
        <v>46054</v>
      </c>
      <c r="B125" s="2" t="s">
        <v>45</v>
      </c>
      <c r="C125" s="2" t="s">
        <v>295</v>
      </c>
      <c r="D125" s="2" t="s">
        <v>314</v>
      </c>
      <c r="E125" s="2" t="s">
        <v>315</v>
      </c>
      <c r="F125" s="2" t="s">
        <v>316</v>
      </c>
      <c r="G125" s="2" t="s">
        <v>65</v>
      </c>
      <c r="H125" s="2" t="s">
        <v>24</v>
      </c>
      <c r="I125" s="6">
        <v>56</v>
      </c>
      <c r="J125" s="6">
        <v>77296</v>
      </c>
      <c r="K125" s="6">
        <v>570175</v>
      </c>
      <c r="L125" s="6">
        <v>649750</v>
      </c>
      <c r="M125" s="6">
        <v>0</v>
      </c>
      <c r="N125" s="6">
        <v>2279</v>
      </c>
      <c r="O125" s="6">
        <v>0</v>
      </c>
      <c r="P125" s="2" t="s">
        <v>25</v>
      </c>
      <c r="Q125" s="2" t="s">
        <v>32</v>
      </c>
      <c r="R125" s="2" t="s">
        <v>27</v>
      </c>
      <c r="S125" s="5">
        <v>1</v>
      </c>
      <c r="T125" s="1">
        <v>0</v>
      </c>
      <c r="U125" s="2">
        <f t="shared" si="26"/>
        <v>1</v>
      </c>
      <c r="V125" s="1">
        <v>0</v>
      </c>
      <c r="W125" s="2">
        <f t="shared" si="24"/>
        <v>1</v>
      </c>
      <c r="X125" s="8">
        <f t="shared" si="25"/>
        <v>100</v>
      </c>
    </row>
    <row r="126" spans="1:24" ht="15" customHeight="1">
      <c r="A126" s="9">
        <v>46054</v>
      </c>
      <c r="B126" s="2" t="s">
        <v>45</v>
      </c>
      <c r="C126" s="2" t="s">
        <v>295</v>
      </c>
      <c r="D126" s="2" t="s">
        <v>1425</v>
      </c>
      <c r="E126" s="2" t="s">
        <v>161</v>
      </c>
      <c r="F126" s="2" t="s">
        <v>1426</v>
      </c>
      <c r="G126" s="2" t="s">
        <v>65</v>
      </c>
      <c r="H126" s="2" t="s">
        <v>24</v>
      </c>
      <c r="I126" s="6">
        <v>65.56</v>
      </c>
      <c r="J126" s="6">
        <v>9811</v>
      </c>
      <c r="K126" s="6">
        <v>181995</v>
      </c>
      <c r="L126" s="6">
        <v>191806</v>
      </c>
      <c r="M126" s="6">
        <v>0</v>
      </c>
      <c r="N126" s="6">
        <v>0</v>
      </c>
      <c r="O126" s="6">
        <v>0</v>
      </c>
      <c r="P126" s="2" t="s">
        <v>25</v>
      </c>
      <c r="Q126" s="2" t="s">
        <v>32</v>
      </c>
      <c r="R126" s="2" t="s">
        <v>27</v>
      </c>
      <c r="S126" s="5">
        <v>1</v>
      </c>
      <c r="T126" s="1">
        <v>0</v>
      </c>
      <c r="U126" s="2">
        <f>T126+S126</f>
        <v>1</v>
      </c>
      <c r="V126" s="1">
        <v>0</v>
      </c>
      <c r="W126" s="2">
        <f t="shared" si="24"/>
        <v>1</v>
      </c>
      <c r="X126" s="8">
        <f t="shared" si="25"/>
        <v>100</v>
      </c>
    </row>
    <row r="127" spans="1:24" ht="15" customHeight="1">
      <c r="A127" s="9">
        <v>46054</v>
      </c>
      <c r="B127" s="2" t="s">
        <v>45</v>
      </c>
      <c r="C127" s="2" t="s">
        <v>295</v>
      </c>
      <c r="D127" s="2" t="s">
        <v>317</v>
      </c>
      <c r="E127" s="2" t="s">
        <v>318</v>
      </c>
      <c r="F127" s="2" t="s">
        <v>319</v>
      </c>
      <c r="G127" s="2"/>
      <c r="H127" s="2" t="s">
        <v>24</v>
      </c>
      <c r="I127" s="6">
        <v>65.56</v>
      </c>
      <c r="J127" s="6">
        <v>6622</v>
      </c>
      <c r="K127" s="6">
        <v>0</v>
      </c>
      <c r="L127" s="6">
        <v>0</v>
      </c>
      <c r="M127" s="6">
        <v>0</v>
      </c>
      <c r="N127" s="6">
        <v>0</v>
      </c>
      <c r="O127" s="6">
        <v>6622</v>
      </c>
      <c r="P127" s="2" t="s">
        <v>25</v>
      </c>
      <c r="Q127" s="2" t="s">
        <v>26</v>
      </c>
      <c r="R127" s="2" t="s">
        <v>321</v>
      </c>
      <c r="S127" s="5">
        <v>0</v>
      </c>
      <c r="T127" s="1">
        <v>0</v>
      </c>
      <c r="U127" s="2">
        <f>T127+S127</f>
        <v>0</v>
      </c>
      <c r="V127" s="1">
        <v>1</v>
      </c>
      <c r="W127" s="2">
        <f t="shared" si="24"/>
        <v>1</v>
      </c>
      <c r="X127" s="8" t="e">
        <f t="shared" si="25"/>
        <v>#DIV/0!</v>
      </c>
    </row>
    <row r="128" spans="1:24" ht="15" customHeight="1">
      <c r="A128" s="9">
        <v>46054</v>
      </c>
      <c r="B128" s="2" t="s">
        <v>45</v>
      </c>
      <c r="C128" s="2" t="s">
        <v>295</v>
      </c>
      <c r="D128" s="2" t="s">
        <v>322</v>
      </c>
      <c r="E128" s="2" t="s">
        <v>72</v>
      </c>
      <c r="F128" s="2" t="s">
        <v>323</v>
      </c>
      <c r="G128" s="2" t="s">
        <v>324</v>
      </c>
      <c r="H128" s="2" t="s">
        <v>24</v>
      </c>
      <c r="I128" s="6">
        <v>35</v>
      </c>
      <c r="J128" s="6">
        <v>60405</v>
      </c>
      <c r="K128" s="6">
        <v>439095</v>
      </c>
      <c r="L128" s="6">
        <v>501684</v>
      </c>
      <c r="M128" s="6">
        <v>0</v>
      </c>
      <c r="N128" s="6">
        <v>2184</v>
      </c>
      <c r="O128" s="6">
        <v>0</v>
      </c>
      <c r="P128" s="2" t="s">
        <v>25</v>
      </c>
      <c r="Q128" s="2" t="s">
        <v>32</v>
      </c>
      <c r="R128" s="2" t="s">
        <v>27</v>
      </c>
      <c r="S128" s="5">
        <v>1</v>
      </c>
      <c r="T128" s="1">
        <v>0</v>
      </c>
      <c r="U128" s="2">
        <f>T128+S128</f>
        <v>1</v>
      </c>
      <c r="V128" s="1">
        <v>0</v>
      </c>
      <c r="W128" s="2">
        <f>V128+U128</f>
        <v>1</v>
      </c>
      <c r="X128" s="8">
        <v>100</v>
      </c>
    </row>
    <row r="129" spans="1:24" ht="15" customHeight="1">
      <c r="A129" s="9">
        <v>46054</v>
      </c>
      <c r="B129" s="2" t="s">
        <v>45</v>
      </c>
      <c r="C129" s="2" t="s">
        <v>295</v>
      </c>
      <c r="D129" s="2" t="s">
        <v>325</v>
      </c>
      <c r="E129" s="2" t="s">
        <v>326</v>
      </c>
      <c r="F129" s="2" t="s">
        <v>327</v>
      </c>
      <c r="G129" s="2" t="s">
        <v>328</v>
      </c>
      <c r="H129" s="2" t="s">
        <v>24</v>
      </c>
      <c r="I129" s="6">
        <v>35</v>
      </c>
      <c r="J129" s="6">
        <v>6954</v>
      </c>
      <c r="K129" s="6">
        <v>162290</v>
      </c>
      <c r="L129" s="6">
        <v>169244</v>
      </c>
      <c r="M129" s="6">
        <v>0</v>
      </c>
      <c r="N129" s="6">
        <v>0</v>
      </c>
      <c r="O129" s="6">
        <v>0</v>
      </c>
      <c r="P129" s="2" t="s">
        <v>25</v>
      </c>
      <c r="Q129" s="2" t="s">
        <v>32</v>
      </c>
      <c r="R129" s="2" t="s">
        <v>50</v>
      </c>
      <c r="S129" s="5">
        <v>1</v>
      </c>
      <c r="T129" s="1">
        <v>0</v>
      </c>
      <c r="U129" s="2">
        <f>T129+S129</f>
        <v>1</v>
      </c>
      <c r="V129" s="1">
        <v>0</v>
      </c>
      <c r="W129" s="2">
        <f t="shared" ref="W129:W192" si="27">V129+U129</f>
        <v>1</v>
      </c>
      <c r="X129" s="8">
        <f t="shared" ref="X129:X192" si="28">100/U129*S129</f>
        <v>100</v>
      </c>
    </row>
    <row r="130" spans="1:24" ht="15" customHeight="1">
      <c r="A130" s="9">
        <v>46054</v>
      </c>
      <c r="B130" s="2" t="s">
        <v>45</v>
      </c>
      <c r="C130" s="2" t="s">
        <v>295</v>
      </c>
      <c r="D130" s="2" t="s">
        <v>1560</v>
      </c>
      <c r="E130" s="2" t="s">
        <v>1402</v>
      </c>
      <c r="F130" s="2" t="s">
        <v>1561</v>
      </c>
      <c r="G130" s="2" t="s">
        <v>61</v>
      </c>
      <c r="H130" s="2" t="s">
        <v>24</v>
      </c>
      <c r="I130" s="6">
        <v>29.84</v>
      </c>
      <c r="J130" s="6">
        <v>16526</v>
      </c>
      <c r="K130" s="6">
        <v>243862</v>
      </c>
      <c r="L130" s="6">
        <v>260805</v>
      </c>
      <c r="M130" s="6">
        <v>0</v>
      </c>
      <c r="N130" s="6">
        <v>10550</v>
      </c>
      <c r="O130" s="6">
        <v>10133</v>
      </c>
      <c r="P130" s="2" t="s">
        <v>25</v>
      </c>
      <c r="Q130" s="2" t="s">
        <v>32</v>
      </c>
      <c r="R130" s="2" t="s">
        <v>50</v>
      </c>
      <c r="S130" s="5">
        <v>1</v>
      </c>
      <c r="T130" s="1">
        <v>0</v>
      </c>
      <c r="U130" s="2">
        <f t="shared" ref="U130:U192" si="29">T130+S130</f>
        <v>1</v>
      </c>
      <c r="V130" s="1">
        <v>0</v>
      </c>
      <c r="W130" s="2">
        <f t="shared" si="27"/>
        <v>1</v>
      </c>
      <c r="X130" s="8">
        <f t="shared" si="28"/>
        <v>100</v>
      </c>
    </row>
    <row r="131" spans="1:24" ht="15" customHeight="1">
      <c r="A131" s="9">
        <v>46054</v>
      </c>
      <c r="B131" s="2" t="s">
        <v>45</v>
      </c>
      <c r="C131" s="2" t="s">
        <v>295</v>
      </c>
      <c r="D131" s="2" t="s">
        <v>1396</v>
      </c>
      <c r="E131" s="2" t="s">
        <v>1397</v>
      </c>
      <c r="F131" s="2" t="s">
        <v>1398</v>
      </c>
      <c r="G131" s="2" t="s">
        <v>61</v>
      </c>
      <c r="H131" s="2" t="s">
        <v>24</v>
      </c>
      <c r="I131" s="6">
        <v>29.84</v>
      </c>
      <c r="J131" s="6">
        <v>42293</v>
      </c>
      <c r="K131" s="6">
        <v>2363</v>
      </c>
      <c r="L131" s="6">
        <v>0</v>
      </c>
      <c r="M131" s="6">
        <v>0</v>
      </c>
      <c r="N131" s="6">
        <v>288</v>
      </c>
      <c r="O131" s="6">
        <v>44944</v>
      </c>
      <c r="P131" s="2" t="s">
        <v>25</v>
      </c>
      <c r="Q131" s="2" t="s">
        <v>32</v>
      </c>
      <c r="R131" s="2" t="s">
        <v>397</v>
      </c>
      <c r="S131" s="5">
        <v>1</v>
      </c>
      <c r="T131" s="1">
        <v>0</v>
      </c>
      <c r="U131" s="2">
        <f t="shared" si="29"/>
        <v>1</v>
      </c>
      <c r="V131" s="1">
        <v>0</v>
      </c>
      <c r="W131" s="2">
        <f t="shared" si="27"/>
        <v>1</v>
      </c>
      <c r="X131" s="8">
        <f t="shared" si="28"/>
        <v>100</v>
      </c>
    </row>
    <row r="132" spans="1:24" ht="15" customHeight="1">
      <c r="A132" s="9">
        <v>46054</v>
      </c>
      <c r="B132" s="2" t="s">
        <v>45</v>
      </c>
      <c r="C132" s="2" t="s">
        <v>295</v>
      </c>
      <c r="D132" s="2" t="s">
        <v>1562</v>
      </c>
      <c r="E132" s="2" t="s">
        <v>1563</v>
      </c>
      <c r="F132" s="2" t="s">
        <v>1564</v>
      </c>
      <c r="G132" s="2" t="s">
        <v>65</v>
      </c>
      <c r="H132" s="2" t="s">
        <v>24</v>
      </c>
      <c r="I132" s="6">
        <v>29.84</v>
      </c>
      <c r="J132" s="6">
        <v>4424</v>
      </c>
      <c r="K132" s="6">
        <v>127106</v>
      </c>
      <c r="L132" s="6">
        <v>131530</v>
      </c>
      <c r="M132" s="6">
        <v>0</v>
      </c>
      <c r="N132" s="6">
        <v>5299</v>
      </c>
      <c r="O132" s="6">
        <v>5299</v>
      </c>
      <c r="P132" s="2" t="s">
        <v>25</v>
      </c>
      <c r="Q132" s="2" t="s">
        <v>32</v>
      </c>
      <c r="R132" s="2" t="s">
        <v>50</v>
      </c>
      <c r="S132" s="5">
        <v>1</v>
      </c>
      <c r="T132" s="1">
        <v>0</v>
      </c>
      <c r="U132" s="2">
        <f>T132+S132</f>
        <v>1</v>
      </c>
      <c r="V132" s="1">
        <v>0</v>
      </c>
      <c r="W132" s="2">
        <f t="shared" si="27"/>
        <v>1</v>
      </c>
      <c r="X132" s="8">
        <f t="shared" si="28"/>
        <v>100</v>
      </c>
    </row>
    <row r="133" spans="1:24" ht="15" customHeight="1">
      <c r="A133" s="9">
        <v>46054</v>
      </c>
      <c r="B133" s="2" t="s">
        <v>45</v>
      </c>
      <c r="C133" s="2" t="s">
        <v>295</v>
      </c>
      <c r="D133" s="2" t="s">
        <v>1718</v>
      </c>
      <c r="E133" s="2" t="s">
        <v>1402</v>
      </c>
      <c r="F133" s="2" t="s">
        <v>1719</v>
      </c>
      <c r="G133" s="2" t="s">
        <v>1719</v>
      </c>
      <c r="H133" s="2" t="s">
        <v>24</v>
      </c>
      <c r="I133" s="6">
        <v>29.84</v>
      </c>
      <c r="J133" s="6">
        <v>4562</v>
      </c>
      <c r="K133" s="6">
        <v>59060</v>
      </c>
      <c r="L133" s="6">
        <v>63622</v>
      </c>
      <c r="M133" s="6">
        <v>0</v>
      </c>
      <c r="N133" s="6">
        <v>2444</v>
      </c>
      <c r="O133" s="6">
        <v>2444</v>
      </c>
      <c r="P133" s="2" t="s">
        <v>25</v>
      </c>
      <c r="Q133" s="2" t="s">
        <v>32</v>
      </c>
      <c r="R133" s="2" t="s">
        <v>50</v>
      </c>
      <c r="S133" s="5">
        <v>1</v>
      </c>
      <c r="T133" s="1">
        <v>0</v>
      </c>
      <c r="U133" s="2">
        <f>T133+S133</f>
        <v>1</v>
      </c>
      <c r="V133" s="1">
        <v>0</v>
      </c>
      <c r="W133" s="2">
        <f>V133+U133</f>
        <v>1</v>
      </c>
      <c r="X133" s="8">
        <f t="shared" si="28"/>
        <v>100</v>
      </c>
    </row>
    <row r="134" spans="1:24" ht="15" customHeight="1">
      <c r="A134" s="9">
        <v>46054</v>
      </c>
      <c r="B134" s="2" t="s">
        <v>45</v>
      </c>
      <c r="C134" s="2" t="s">
        <v>295</v>
      </c>
      <c r="D134" s="2" t="s">
        <v>329</v>
      </c>
      <c r="E134" s="2" t="s">
        <v>330</v>
      </c>
      <c r="F134" s="2" t="s">
        <v>331</v>
      </c>
      <c r="G134" s="2" t="s">
        <v>332</v>
      </c>
      <c r="H134" s="2" t="s">
        <v>24</v>
      </c>
      <c r="I134" s="6">
        <v>47</v>
      </c>
      <c r="J134" s="6">
        <v>15623</v>
      </c>
      <c r="K134" s="6">
        <v>1180</v>
      </c>
      <c r="L134" s="6">
        <v>1230</v>
      </c>
      <c r="M134" s="6">
        <v>0</v>
      </c>
      <c r="N134" s="6">
        <v>50</v>
      </c>
      <c r="O134" s="6">
        <v>15623</v>
      </c>
      <c r="P134" s="2" t="s">
        <v>25</v>
      </c>
      <c r="Q134" s="2" t="s">
        <v>32</v>
      </c>
      <c r="R134" s="2" t="s">
        <v>27</v>
      </c>
      <c r="S134" s="5">
        <v>1</v>
      </c>
      <c r="T134" s="1">
        <v>0</v>
      </c>
      <c r="U134" s="2">
        <f>T134+S134</f>
        <v>1</v>
      </c>
      <c r="V134" s="1">
        <v>0</v>
      </c>
      <c r="W134" s="2">
        <f t="shared" si="27"/>
        <v>1</v>
      </c>
      <c r="X134" s="8">
        <f t="shared" si="28"/>
        <v>100</v>
      </c>
    </row>
    <row r="135" spans="1:24" ht="15" customHeight="1">
      <c r="A135" s="9">
        <v>46054</v>
      </c>
      <c r="B135" s="2" t="s">
        <v>45</v>
      </c>
      <c r="C135" s="2" t="s">
        <v>295</v>
      </c>
      <c r="D135" s="2" t="s">
        <v>333</v>
      </c>
      <c r="E135" s="2" t="s">
        <v>334</v>
      </c>
      <c r="F135" s="2" t="s">
        <v>335</v>
      </c>
      <c r="G135" s="2" t="s">
        <v>23</v>
      </c>
      <c r="H135" s="2" t="s">
        <v>24</v>
      </c>
      <c r="I135" s="6">
        <v>14.92</v>
      </c>
      <c r="J135" s="6">
        <v>9056</v>
      </c>
      <c r="K135" s="6">
        <v>202306</v>
      </c>
      <c r="L135" s="6">
        <v>211362</v>
      </c>
      <c r="M135" s="6">
        <v>0</v>
      </c>
      <c r="N135" s="6">
        <v>0</v>
      </c>
      <c r="O135" s="6">
        <v>0</v>
      </c>
      <c r="P135" s="2" t="s">
        <v>25</v>
      </c>
      <c r="Q135" s="2" t="s">
        <v>32</v>
      </c>
      <c r="R135" s="2" t="s">
        <v>27</v>
      </c>
      <c r="S135" s="5">
        <v>1</v>
      </c>
      <c r="T135" s="1">
        <v>0</v>
      </c>
      <c r="U135" s="2">
        <f>T135+S135</f>
        <v>1</v>
      </c>
      <c r="V135" s="1">
        <v>0</v>
      </c>
      <c r="W135" s="2">
        <f t="shared" si="27"/>
        <v>1</v>
      </c>
      <c r="X135" s="8">
        <f t="shared" si="28"/>
        <v>100</v>
      </c>
    </row>
    <row r="136" spans="1:24" ht="15" customHeight="1">
      <c r="A136" s="9">
        <v>46054</v>
      </c>
      <c r="B136" s="2" t="s">
        <v>45</v>
      </c>
      <c r="C136" s="2" t="s">
        <v>295</v>
      </c>
      <c r="D136" s="2" t="s">
        <v>1565</v>
      </c>
      <c r="E136" s="2" t="s">
        <v>1402</v>
      </c>
      <c r="F136" s="2" t="s">
        <v>1566</v>
      </c>
      <c r="G136" s="2" t="s">
        <v>49</v>
      </c>
      <c r="H136" s="2" t="s">
        <v>24</v>
      </c>
      <c r="I136" s="6">
        <v>29.84</v>
      </c>
      <c r="J136" s="6">
        <v>3067624</v>
      </c>
      <c r="K136" s="6">
        <v>123746</v>
      </c>
      <c r="L136" s="6">
        <v>150000</v>
      </c>
      <c r="M136" s="6">
        <v>0</v>
      </c>
      <c r="N136" s="6">
        <v>14537</v>
      </c>
      <c r="O136" s="6">
        <v>3055907</v>
      </c>
      <c r="P136" s="2" t="s">
        <v>25</v>
      </c>
      <c r="Q136" s="2" t="s">
        <v>32</v>
      </c>
      <c r="R136" s="2" t="s">
        <v>50</v>
      </c>
      <c r="S136" s="5">
        <v>1</v>
      </c>
      <c r="T136" s="1">
        <v>0</v>
      </c>
      <c r="U136" s="2">
        <f t="shared" si="29"/>
        <v>1</v>
      </c>
      <c r="V136" s="1">
        <v>0</v>
      </c>
      <c r="W136" s="2">
        <f t="shared" si="27"/>
        <v>1</v>
      </c>
      <c r="X136" s="8">
        <f t="shared" si="28"/>
        <v>100</v>
      </c>
    </row>
    <row r="137" spans="1:24" ht="15" customHeight="1">
      <c r="A137" s="9">
        <v>46054</v>
      </c>
      <c r="B137" s="2" t="s">
        <v>45</v>
      </c>
      <c r="C137" s="2" t="s">
        <v>295</v>
      </c>
      <c r="D137" s="2" t="s">
        <v>1427</v>
      </c>
      <c r="E137" s="2" t="s">
        <v>154</v>
      </c>
      <c r="F137" s="2" t="s">
        <v>1428</v>
      </c>
      <c r="G137" s="2" t="s">
        <v>65</v>
      </c>
      <c r="H137" s="2" t="s">
        <v>24</v>
      </c>
      <c r="I137" s="6">
        <v>40</v>
      </c>
      <c r="J137" s="6">
        <v>142662</v>
      </c>
      <c r="K137" s="6">
        <v>1172028</v>
      </c>
      <c r="L137" s="6">
        <v>1319427</v>
      </c>
      <c r="M137" s="6">
        <v>0</v>
      </c>
      <c r="N137" s="6">
        <v>4737</v>
      </c>
      <c r="O137" s="6">
        <v>0</v>
      </c>
      <c r="P137" s="2" t="s">
        <v>25</v>
      </c>
      <c r="Q137" s="2" t="s">
        <v>32</v>
      </c>
      <c r="R137" s="2" t="s">
        <v>27</v>
      </c>
      <c r="S137" s="5">
        <v>1</v>
      </c>
      <c r="T137" s="1">
        <v>0</v>
      </c>
      <c r="U137" s="2">
        <f>T137+S137</f>
        <v>1</v>
      </c>
      <c r="V137" s="1">
        <v>0</v>
      </c>
      <c r="W137" s="2">
        <f t="shared" si="27"/>
        <v>1</v>
      </c>
      <c r="X137" s="8">
        <f t="shared" si="28"/>
        <v>100</v>
      </c>
    </row>
    <row r="138" spans="1:24" ht="15" customHeight="1">
      <c r="A138" s="9">
        <v>46054</v>
      </c>
      <c r="B138" s="2" t="s">
        <v>45</v>
      </c>
      <c r="C138" s="2" t="s">
        <v>295</v>
      </c>
      <c r="D138" s="2" t="s">
        <v>1567</v>
      </c>
      <c r="E138" s="2" t="s">
        <v>1402</v>
      </c>
      <c r="F138" s="2" t="s">
        <v>1568</v>
      </c>
      <c r="G138" s="2" t="s">
        <v>278</v>
      </c>
      <c r="H138" s="2" t="s">
        <v>24</v>
      </c>
      <c r="I138" s="6">
        <v>29.84</v>
      </c>
      <c r="J138" s="6">
        <v>17514788</v>
      </c>
      <c r="K138" s="6">
        <v>799178</v>
      </c>
      <c r="L138" s="6">
        <v>825000</v>
      </c>
      <c r="M138" s="6">
        <v>0</v>
      </c>
      <c r="N138" s="6">
        <v>99597</v>
      </c>
      <c r="O138" s="6">
        <v>17588563</v>
      </c>
      <c r="P138" s="2" t="s">
        <v>25</v>
      </c>
      <c r="Q138" s="2" t="s">
        <v>32</v>
      </c>
      <c r="R138" s="2" t="s">
        <v>50</v>
      </c>
      <c r="S138" s="5">
        <v>1</v>
      </c>
      <c r="T138" s="1">
        <v>0</v>
      </c>
      <c r="U138" s="2">
        <f>T138+S138</f>
        <v>1</v>
      </c>
      <c r="V138" s="1">
        <v>0</v>
      </c>
      <c r="W138" s="2">
        <f t="shared" si="27"/>
        <v>1</v>
      </c>
      <c r="X138" s="8">
        <f t="shared" si="28"/>
        <v>100</v>
      </c>
    </row>
    <row r="139" spans="1:24" ht="15" customHeight="1">
      <c r="A139" s="9">
        <v>46054</v>
      </c>
      <c r="B139" s="2" t="s">
        <v>45</v>
      </c>
      <c r="C139" s="2" t="s">
        <v>295</v>
      </c>
      <c r="D139" s="2" t="s">
        <v>336</v>
      </c>
      <c r="E139" s="2" t="s">
        <v>337</v>
      </c>
      <c r="F139" s="2" t="s">
        <v>338</v>
      </c>
      <c r="G139" s="2" t="s">
        <v>65</v>
      </c>
      <c r="H139" s="2" t="s">
        <v>24</v>
      </c>
      <c r="I139" s="6">
        <v>22.38</v>
      </c>
      <c r="J139" s="6">
        <v>49472</v>
      </c>
      <c r="K139" s="6">
        <v>0</v>
      </c>
      <c r="L139" s="6">
        <v>0</v>
      </c>
      <c r="M139" s="6">
        <v>0</v>
      </c>
      <c r="N139" s="6">
        <v>0</v>
      </c>
      <c r="O139" s="6">
        <v>49472</v>
      </c>
      <c r="P139" s="2" t="s">
        <v>40</v>
      </c>
      <c r="Q139" s="2" t="s">
        <v>26</v>
      </c>
      <c r="R139" s="2" t="s">
        <v>339</v>
      </c>
      <c r="S139" s="5">
        <v>0</v>
      </c>
      <c r="T139" s="1">
        <v>0</v>
      </c>
      <c r="U139" s="2">
        <f>T139+S139</f>
        <v>0</v>
      </c>
      <c r="V139" s="1">
        <v>1</v>
      </c>
      <c r="W139" s="2">
        <f t="shared" si="27"/>
        <v>1</v>
      </c>
      <c r="X139" s="8" t="e">
        <f t="shared" si="28"/>
        <v>#DIV/0!</v>
      </c>
    </row>
    <row r="140" spans="1:24" ht="15" customHeight="1">
      <c r="A140" s="9">
        <v>46054</v>
      </c>
      <c r="B140" s="2" t="s">
        <v>45</v>
      </c>
      <c r="C140" s="2" t="s">
        <v>295</v>
      </c>
      <c r="D140" s="2" t="s">
        <v>340</v>
      </c>
      <c r="E140" s="2" t="s">
        <v>35</v>
      </c>
      <c r="F140" s="2" t="s">
        <v>341</v>
      </c>
      <c r="G140" s="2" t="s">
        <v>342</v>
      </c>
      <c r="H140" s="2" t="s">
        <v>24</v>
      </c>
      <c r="I140" s="6">
        <v>74.599999999999994</v>
      </c>
      <c r="J140" s="6">
        <v>141697</v>
      </c>
      <c r="K140" s="6">
        <v>2273853</v>
      </c>
      <c r="L140" s="6">
        <v>2419919</v>
      </c>
      <c r="M140" s="6">
        <v>0</v>
      </c>
      <c r="N140" s="6">
        <v>4369</v>
      </c>
      <c r="O140" s="6">
        <v>0</v>
      </c>
      <c r="P140" s="2" t="s">
        <v>25</v>
      </c>
      <c r="Q140" s="2" t="s">
        <v>32</v>
      </c>
      <c r="R140" s="2" t="s">
        <v>27</v>
      </c>
      <c r="S140" s="5">
        <v>1</v>
      </c>
      <c r="T140" s="1">
        <v>0</v>
      </c>
      <c r="U140" s="2">
        <f t="shared" si="29"/>
        <v>1</v>
      </c>
      <c r="V140" s="1">
        <v>0</v>
      </c>
      <c r="W140" s="2">
        <f t="shared" si="27"/>
        <v>1</v>
      </c>
      <c r="X140" s="8">
        <f t="shared" si="28"/>
        <v>100</v>
      </c>
    </row>
    <row r="141" spans="1:24" ht="15" customHeight="1">
      <c r="A141" s="9">
        <v>46054</v>
      </c>
      <c r="B141" s="2" t="s">
        <v>45</v>
      </c>
      <c r="C141" s="2" t="s">
        <v>295</v>
      </c>
      <c r="D141" s="2" t="s">
        <v>343</v>
      </c>
      <c r="E141" s="2" t="s">
        <v>68</v>
      </c>
      <c r="F141" s="2" t="s">
        <v>344</v>
      </c>
      <c r="G141" s="2" t="s">
        <v>345</v>
      </c>
      <c r="H141" s="2" t="s">
        <v>24</v>
      </c>
      <c r="I141" s="6">
        <v>35</v>
      </c>
      <c r="J141" s="6">
        <v>50</v>
      </c>
      <c r="K141" s="6">
        <v>1384</v>
      </c>
      <c r="L141" s="6">
        <v>1434</v>
      </c>
      <c r="M141" s="6">
        <v>0</v>
      </c>
      <c r="N141" s="6">
        <v>0</v>
      </c>
      <c r="O141" s="6">
        <v>0</v>
      </c>
      <c r="P141" s="2" t="s">
        <v>25</v>
      </c>
      <c r="Q141" s="2" t="s">
        <v>32</v>
      </c>
      <c r="R141" s="2" t="s">
        <v>27</v>
      </c>
      <c r="S141" s="5">
        <v>1</v>
      </c>
      <c r="T141" s="1">
        <v>0</v>
      </c>
      <c r="U141" s="2">
        <f t="shared" si="29"/>
        <v>1</v>
      </c>
      <c r="V141" s="1">
        <v>0</v>
      </c>
      <c r="W141" s="2">
        <f t="shared" si="27"/>
        <v>1</v>
      </c>
      <c r="X141" s="8">
        <f t="shared" si="28"/>
        <v>100</v>
      </c>
    </row>
    <row r="142" spans="1:24" ht="15" customHeight="1">
      <c r="A142" s="9">
        <v>46054</v>
      </c>
      <c r="B142" s="2" t="s">
        <v>45</v>
      </c>
      <c r="C142" s="2" t="s">
        <v>295</v>
      </c>
      <c r="D142" s="2" t="s">
        <v>346</v>
      </c>
      <c r="E142" s="2" t="s">
        <v>161</v>
      </c>
      <c r="F142" s="2" t="s">
        <v>347</v>
      </c>
      <c r="G142" s="2" t="s">
        <v>65</v>
      </c>
      <c r="H142" s="2" t="s">
        <v>24</v>
      </c>
      <c r="I142" s="6">
        <v>58</v>
      </c>
      <c r="J142" s="6">
        <v>37966</v>
      </c>
      <c r="K142" s="6">
        <v>1131195</v>
      </c>
      <c r="L142" s="6">
        <v>1169161</v>
      </c>
      <c r="M142" s="6">
        <v>0</v>
      </c>
      <c r="N142" s="6">
        <v>0</v>
      </c>
      <c r="O142" s="6">
        <v>0</v>
      </c>
      <c r="P142" s="2" t="s">
        <v>25</v>
      </c>
      <c r="Q142" s="2" t="s">
        <v>32</v>
      </c>
      <c r="R142" s="2" t="s">
        <v>27</v>
      </c>
      <c r="S142" s="5">
        <v>1</v>
      </c>
      <c r="T142" s="1">
        <v>0</v>
      </c>
      <c r="U142" s="2">
        <f t="shared" si="29"/>
        <v>1</v>
      </c>
      <c r="V142" s="1">
        <v>0</v>
      </c>
      <c r="W142" s="2">
        <f t="shared" si="27"/>
        <v>1</v>
      </c>
      <c r="X142" s="8">
        <f t="shared" si="28"/>
        <v>100</v>
      </c>
    </row>
    <row r="143" spans="1:24" ht="15" customHeight="1">
      <c r="A143" s="9">
        <v>46054</v>
      </c>
      <c r="B143" s="2" t="s">
        <v>45</v>
      </c>
      <c r="C143" s="2" t="s">
        <v>295</v>
      </c>
      <c r="D143" s="2" t="s">
        <v>348</v>
      </c>
      <c r="E143" s="2" t="s">
        <v>1402</v>
      </c>
      <c r="F143" s="2" t="s">
        <v>349</v>
      </c>
      <c r="G143" s="2" t="s">
        <v>65</v>
      </c>
      <c r="H143" s="2" t="s">
        <v>24</v>
      </c>
      <c r="I143" s="6">
        <v>29.84</v>
      </c>
      <c r="J143" s="6">
        <v>23578702</v>
      </c>
      <c r="K143" s="6">
        <v>1108056</v>
      </c>
      <c r="L143" s="6">
        <v>1225000</v>
      </c>
      <c r="M143" s="6">
        <v>0</v>
      </c>
      <c r="N143" s="6">
        <v>125639</v>
      </c>
      <c r="O143" s="6">
        <v>23587397</v>
      </c>
      <c r="P143" s="2" t="s">
        <v>25</v>
      </c>
      <c r="Q143" s="2" t="s">
        <v>32</v>
      </c>
      <c r="R143" s="2" t="s">
        <v>50</v>
      </c>
      <c r="S143" s="5">
        <v>1</v>
      </c>
      <c r="T143" s="1">
        <v>0</v>
      </c>
      <c r="U143" s="2">
        <f t="shared" si="29"/>
        <v>1</v>
      </c>
      <c r="V143" s="1">
        <v>0</v>
      </c>
      <c r="W143" s="2">
        <f t="shared" si="27"/>
        <v>1</v>
      </c>
      <c r="X143" s="8">
        <f t="shared" si="28"/>
        <v>100</v>
      </c>
    </row>
    <row r="144" spans="1:24" ht="15" customHeight="1">
      <c r="A144" s="9">
        <v>46054</v>
      </c>
      <c r="B144" s="2" t="s">
        <v>45</v>
      </c>
      <c r="C144" s="2" t="s">
        <v>295</v>
      </c>
      <c r="D144" s="2" t="s">
        <v>350</v>
      </c>
      <c r="E144" s="2" t="s">
        <v>351</v>
      </c>
      <c r="F144" s="2" t="s">
        <v>352</v>
      </c>
      <c r="G144" s="2" t="s">
        <v>65</v>
      </c>
      <c r="H144" s="2" t="s">
        <v>24</v>
      </c>
      <c r="I144" s="6">
        <v>48</v>
      </c>
      <c r="J144" s="6">
        <v>50124</v>
      </c>
      <c r="K144" s="6">
        <v>565494</v>
      </c>
      <c r="L144" s="6">
        <v>616827</v>
      </c>
      <c r="M144" s="6">
        <v>0</v>
      </c>
      <c r="N144" s="6">
        <v>1209</v>
      </c>
      <c r="O144" s="6">
        <v>0</v>
      </c>
      <c r="P144" s="2" t="s">
        <v>25</v>
      </c>
      <c r="Q144" s="2" t="s">
        <v>32</v>
      </c>
      <c r="R144" s="2" t="s">
        <v>27</v>
      </c>
      <c r="S144" s="5">
        <v>1</v>
      </c>
      <c r="T144" s="1">
        <v>0</v>
      </c>
      <c r="U144" s="2">
        <f t="shared" si="29"/>
        <v>1</v>
      </c>
      <c r="V144" s="1">
        <v>0</v>
      </c>
      <c r="W144" s="2">
        <f t="shared" si="27"/>
        <v>1</v>
      </c>
      <c r="X144" s="8">
        <f t="shared" si="28"/>
        <v>100</v>
      </c>
    </row>
    <row r="145" spans="1:24" ht="15" customHeight="1">
      <c r="A145" s="9">
        <v>46054</v>
      </c>
      <c r="B145" s="2" t="s">
        <v>45</v>
      </c>
      <c r="C145" s="2" t="s">
        <v>295</v>
      </c>
      <c r="D145" s="2" t="s">
        <v>353</v>
      </c>
      <c r="E145" s="2" t="s">
        <v>35</v>
      </c>
      <c r="F145" s="2" t="s">
        <v>354</v>
      </c>
      <c r="G145" s="2" t="s">
        <v>355</v>
      </c>
      <c r="H145" s="2" t="s">
        <v>24</v>
      </c>
      <c r="I145" s="6">
        <v>30</v>
      </c>
      <c r="J145" s="6">
        <v>27854</v>
      </c>
      <c r="K145" s="6">
        <v>393774</v>
      </c>
      <c r="L145" s="6">
        <v>421628</v>
      </c>
      <c r="M145" s="6">
        <v>0</v>
      </c>
      <c r="N145" s="6">
        <v>0</v>
      </c>
      <c r="O145" s="6">
        <v>0</v>
      </c>
      <c r="P145" s="2" t="s">
        <v>25</v>
      </c>
      <c r="Q145" s="2" t="s">
        <v>32</v>
      </c>
      <c r="R145" s="2" t="s">
        <v>27</v>
      </c>
      <c r="S145" s="5">
        <v>1</v>
      </c>
      <c r="T145" s="1">
        <v>0</v>
      </c>
      <c r="U145" s="2">
        <f t="shared" si="29"/>
        <v>1</v>
      </c>
      <c r="V145" s="1">
        <v>0</v>
      </c>
      <c r="W145" s="2">
        <f t="shared" si="27"/>
        <v>1</v>
      </c>
      <c r="X145" s="8">
        <f t="shared" si="28"/>
        <v>100</v>
      </c>
    </row>
    <row r="146" spans="1:24" ht="15" customHeight="1">
      <c r="A146" s="9">
        <v>46054</v>
      </c>
      <c r="B146" s="2" t="s">
        <v>45</v>
      </c>
      <c r="C146" s="2" t="s">
        <v>295</v>
      </c>
      <c r="D146" s="2" t="s">
        <v>1569</v>
      </c>
      <c r="E146" s="2" t="s">
        <v>1402</v>
      </c>
      <c r="F146" s="2" t="s">
        <v>1570</v>
      </c>
      <c r="G146" s="2" t="s">
        <v>65</v>
      </c>
      <c r="H146" s="2" t="s">
        <v>24</v>
      </c>
      <c r="I146" s="6">
        <v>29.84</v>
      </c>
      <c r="J146" s="6">
        <v>733283</v>
      </c>
      <c r="K146" s="6">
        <v>615343</v>
      </c>
      <c r="L146" s="6">
        <v>650000</v>
      </c>
      <c r="M146" s="6">
        <v>0</v>
      </c>
      <c r="N146" s="6">
        <v>71391</v>
      </c>
      <c r="O146" s="6">
        <v>770017</v>
      </c>
      <c r="P146" s="2" t="s">
        <v>25</v>
      </c>
      <c r="Q146" s="2" t="s">
        <v>32</v>
      </c>
      <c r="R146" s="2" t="s">
        <v>50</v>
      </c>
      <c r="S146" s="5">
        <v>1</v>
      </c>
      <c r="T146" s="1">
        <v>0</v>
      </c>
      <c r="U146" s="2">
        <f t="shared" si="29"/>
        <v>1</v>
      </c>
      <c r="V146" s="1">
        <v>0</v>
      </c>
      <c r="W146" s="2">
        <f t="shared" si="27"/>
        <v>1</v>
      </c>
      <c r="X146" s="8">
        <f t="shared" si="28"/>
        <v>100</v>
      </c>
    </row>
    <row r="147" spans="1:24" ht="15" customHeight="1">
      <c r="A147" s="9">
        <v>46054</v>
      </c>
      <c r="B147" s="2" t="s">
        <v>45</v>
      </c>
      <c r="C147" s="2" t="s">
        <v>295</v>
      </c>
      <c r="D147" s="2" t="s">
        <v>356</v>
      </c>
      <c r="E147" s="2" t="s">
        <v>357</v>
      </c>
      <c r="F147" s="2" t="s">
        <v>358</v>
      </c>
      <c r="G147" s="2"/>
      <c r="H147" s="2" t="s">
        <v>24</v>
      </c>
      <c r="I147" s="6">
        <v>29.84</v>
      </c>
      <c r="J147" s="6">
        <v>119075</v>
      </c>
      <c r="K147" s="6">
        <v>842730</v>
      </c>
      <c r="L147" s="6">
        <v>966062</v>
      </c>
      <c r="M147" s="6">
        <v>0</v>
      </c>
      <c r="N147" s="6">
        <v>4257</v>
      </c>
      <c r="O147" s="6">
        <v>0</v>
      </c>
      <c r="P147" s="2" t="s">
        <v>25</v>
      </c>
      <c r="Q147" s="2" t="s">
        <v>32</v>
      </c>
      <c r="R147" s="2" t="s">
        <v>27</v>
      </c>
      <c r="S147" s="5">
        <v>1</v>
      </c>
      <c r="T147" s="1">
        <v>0</v>
      </c>
      <c r="U147" s="2">
        <f t="shared" si="29"/>
        <v>1</v>
      </c>
      <c r="V147" s="1">
        <v>0</v>
      </c>
      <c r="W147" s="2">
        <f t="shared" si="27"/>
        <v>1</v>
      </c>
      <c r="X147" s="8">
        <f t="shared" si="28"/>
        <v>100</v>
      </c>
    </row>
    <row r="148" spans="1:24" ht="15" customHeight="1">
      <c r="A148" s="9">
        <v>46054</v>
      </c>
      <c r="B148" s="2" t="s">
        <v>45</v>
      </c>
      <c r="C148" s="2" t="s">
        <v>295</v>
      </c>
      <c r="D148" s="2" t="s">
        <v>1571</v>
      </c>
      <c r="E148" s="2" t="s">
        <v>1402</v>
      </c>
      <c r="F148" s="2" t="s">
        <v>1572</v>
      </c>
      <c r="G148" s="2" t="s">
        <v>1573</v>
      </c>
      <c r="H148" s="2" t="s">
        <v>24</v>
      </c>
      <c r="I148" s="6">
        <v>29.84</v>
      </c>
      <c r="J148" s="6">
        <v>2463032</v>
      </c>
      <c r="K148" s="6">
        <v>625605</v>
      </c>
      <c r="L148" s="6">
        <v>650000</v>
      </c>
      <c r="M148" s="6">
        <v>0</v>
      </c>
      <c r="N148" s="6">
        <v>78588</v>
      </c>
      <c r="O148" s="6">
        <v>2517225</v>
      </c>
      <c r="P148" s="2" t="s">
        <v>25</v>
      </c>
      <c r="Q148" s="2" t="s">
        <v>32</v>
      </c>
      <c r="R148" s="2" t="s">
        <v>50</v>
      </c>
      <c r="S148" s="5">
        <v>1</v>
      </c>
      <c r="T148" s="1">
        <v>0</v>
      </c>
      <c r="U148" s="2">
        <f t="shared" si="29"/>
        <v>1</v>
      </c>
      <c r="V148" s="1">
        <v>0</v>
      </c>
      <c r="W148" s="2">
        <f t="shared" si="27"/>
        <v>1</v>
      </c>
      <c r="X148" s="8">
        <f t="shared" si="28"/>
        <v>100</v>
      </c>
    </row>
    <row r="149" spans="1:24" ht="15" customHeight="1">
      <c r="A149" s="9">
        <v>46054</v>
      </c>
      <c r="B149" s="2" t="s">
        <v>45</v>
      </c>
      <c r="C149" s="2" t="s">
        <v>295</v>
      </c>
      <c r="D149" s="2" t="s">
        <v>359</v>
      </c>
      <c r="E149" s="2" t="s">
        <v>360</v>
      </c>
      <c r="F149" s="2" t="s">
        <v>361</v>
      </c>
      <c r="G149" s="2" t="s">
        <v>362</v>
      </c>
      <c r="H149" s="2" t="s">
        <v>24</v>
      </c>
      <c r="I149" s="6">
        <v>35</v>
      </c>
      <c r="J149" s="6">
        <v>-714</v>
      </c>
      <c r="K149" s="6">
        <v>2731</v>
      </c>
      <c r="L149" s="6">
        <v>2017</v>
      </c>
      <c r="M149" s="6">
        <v>0</v>
      </c>
      <c r="N149" s="6">
        <v>0</v>
      </c>
      <c r="O149" s="6">
        <v>0</v>
      </c>
      <c r="P149" s="2" t="s">
        <v>25</v>
      </c>
      <c r="Q149" s="2" t="s">
        <v>32</v>
      </c>
      <c r="R149" s="2" t="s">
        <v>27</v>
      </c>
      <c r="S149" s="5">
        <v>1</v>
      </c>
      <c r="T149" s="1">
        <v>0</v>
      </c>
      <c r="U149" s="2">
        <f t="shared" si="29"/>
        <v>1</v>
      </c>
      <c r="V149" s="1">
        <v>0</v>
      </c>
      <c r="W149" s="2">
        <f t="shared" si="27"/>
        <v>1</v>
      </c>
      <c r="X149" s="8">
        <f t="shared" si="28"/>
        <v>100</v>
      </c>
    </row>
    <row r="150" spans="1:24" ht="15" customHeight="1">
      <c r="A150" s="9">
        <v>46054</v>
      </c>
      <c r="B150" s="2" t="s">
        <v>45</v>
      </c>
      <c r="C150" s="2" t="s">
        <v>295</v>
      </c>
      <c r="D150" s="2" t="s">
        <v>363</v>
      </c>
      <c r="E150" s="2" t="s">
        <v>364</v>
      </c>
      <c r="F150" s="2" t="s">
        <v>365</v>
      </c>
      <c r="G150" s="2" t="s">
        <v>65</v>
      </c>
      <c r="H150" s="2" t="s">
        <v>24</v>
      </c>
      <c r="I150" s="6">
        <v>45</v>
      </c>
      <c r="J150" s="6">
        <v>83864</v>
      </c>
      <c r="K150" s="6">
        <v>1450069</v>
      </c>
      <c r="L150" s="6">
        <v>1536978</v>
      </c>
      <c r="M150" s="6">
        <v>0</v>
      </c>
      <c r="N150" s="6">
        <v>3045</v>
      </c>
      <c r="O150" s="6">
        <v>0</v>
      </c>
      <c r="P150" s="2" t="s">
        <v>25</v>
      </c>
      <c r="Q150" s="2" t="s">
        <v>32</v>
      </c>
      <c r="R150" s="2" t="s">
        <v>27</v>
      </c>
      <c r="S150" s="5">
        <v>1</v>
      </c>
      <c r="T150" s="1">
        <v>0</v>
      </c>
      <c r="U150" s="2">
        <f t="shared" si="29"/>
        <v>1</v>
      </c>
      <c r="V150" s="1">
        <v>0</v>
      </c>
      <c r="W150" s="2">
        <f t="shared" si="27"/>
        <v>1</v>
      </c>
      <c r="X150" s="8">
        <f t="shared" si="28"/>
        <v>100</v>
      </c>
    </row>
    <row r="151" spans="1:24" ht="15" customHeight="1">
      <c r="A151" s="9">
        <v>46054</v>
      </c>
      <c r="B151" s="2" t="s">
        <v>45</v>
      </c>
      <c r="C151" s="2" t="s">
        <v>295</v>
      </c>
      <c r="D151" s="2" t="s">
        <v>366</v>
      </c>
      <c r="E151" s="2" t="s">
        <v>326</v>
      </c>
      <c r="F151" s="2" t="s">
        <v>367</v>
      </c>
      <c r="G151" s="2" t="s">
        <v>368</v>
      </c>
      <c r="H151" s="2" t="s">
        <v>24</v>
      </c>
      <c r="I151" s="6">
        <v>36</v>
      </c>
      <c r="J151" s="6">
        <v>36729</v>
      </c>
      <c r="K151" s="6">
        <v>1180</v>
      </c>
      <c r="L151" s="6">
        <v>1230</v>
      </c>
      <c r="M151" s="6">
        <v>0</v>
      </c>
      <c r="N151" s="6">
        <v>50</v>
      </c>
      <c r="O151" s="6">
        <v>36729</v>
      </c>
      <c r="P151" s="2" t="s">
        <v>25</v>
      </c>
      <c r="Q151" s="2" t="s">
        <v>32</v>
      </c>
      <c r="R151" s="2" t="s">
        <v>27</v>
      </c>
      <c r="S151" s="5">
        <v>1</v>
      </c>
      <c r="T151" s="1">
        <v>0</v>
      </c>
      <c r="U151" s="2">
        <f t="shared" si="29"/>
        <v>1</v>
      </c>
      <c r="V151" s="1">
        <v>0</v>
      </c>
      <c r="W151" s="2">
        <f t="shared" si="27"/>
        <v>1</v>
      </c>
      <c r="X151" s="8">
        <f t="shared" si="28"/>
        <v>100</v>
      </c>
    </row>
    <row r="152" spans="1:24" ht="15" customHeight="1">
      <c r="A152" s="9">
        <v>46054</v>
      </c>
      <c r="B152" s="2" t="s">
        <v>45</v>
      </c>
      <c r="C152" s="2" t="s">
        <v>295</v>
      </c>
      <c r="D152" s="2" t="s">
        <v>369</v>
      </c>
      <c r="E152" s="2" t="s">
        <v>63</v>
      </c>
      <c r="F152" s="2" t="s">
        <v>370</v>
      </c>
      <c r="G152" s="2" t="s">
        <v>371</v>
      </c>
      <c r="H152" s="2" t="s">
        <v>24</v>
      </c>
      <c r="I152" s="6">
        <v>29.84</v>
      </c>
      <c r="J152" s="6">
        <v>108211</v>
      </c>
      <c r="K152" s="6">
        <v>519497</v>
      </c>
      <c r="L152" s="6">
        <v>631235</v>
      </c>
      <c r="M152" s="6">
        <v>0</v>
      </c>
      <c r="N152" s="6">
        <v>3527</v>
      </c>
      <c r="O152" s="6">
        <v>0</v>
      </c>
      <c r="P152" s="2" t="s">
        <v>25</v>
      </c>
      <c r="Q152" s="2" t="s">
        <v>32</v>
      </c>
      <c r="R152" s="2" t="s">
        <v>66</v>
      </c>
      <c r="S152" s="5">
        <v>1</v>
      </c>
      <c r="T152" s="1">
        <v>0</v>
      </c>
      <c r="U152" s="2">
        <f t="shared" si="29"/>
        <v>1</v>
      </c>
      <c r="V152" s="1">
        <v>0</v>
      </c>
      <c r="W152" s="2">
        <f t="shared" si="27"/>
        <v>1</v>
      </c>
      <c r="X152" s="8">
        <f t="shared" si="28"/>
        <v>100</v>
      </c>
    </row>
    <row r="153" spans="1:24" ht="15" customHeight="1">
      <c r="A153" s="9">
        <v>46054</v>
      </c>
      <c r="B153" s="2" t="s">
        <v>45</v>
      </c>
      <c r="C153" s="2" t="s">
        <v>295</v>
      </c>
      <c r="D153" s="2" t="s">
        <v>372</v>
      </c>
      <c r="E153" s="2" t="s">
        <v>373</v>
      </c>
      <c r="F153" s="2" t="s">
        <v>374</v>
      </c>
      <c r="G153" s="2" t="s">
        <v>375</v>
      </c>
      <c r="H153" s="2" t="s">
        <v>24</v>
      </c>
      <c r="I153" s="6">
        <v>20</v>
      </c>
      <c r="J153" s="6">
        <v>41229</v>
      </c>
      <c r="K153" s="6">
        <v>600661</v>
      </c>
      <c r="L153" s="6">
        <v>643081</v>
      </c>
      <c r="M153" s="6">
        <v>0</v>
      </c>
      <c r="N153" s="6">
        <v>1191</v>
      </c>
      <c r="O153" s="6">
        <v>0</v>
      </c>
      <c r="P153" s="2" t="s">
        <v>25</v>
      </c>
      <c r="Q153" s="2" t="s">
        <v>32</v>
      </c>
      <c r="R153" s="2" t="s">
        <v>27</v>
      </c>
      <c r="S153" s="5">
        <v>1</v>
      </c>
      <c r="T153" s="1">
        <v>0</v>
      </c>
      <c r="U153" s="2">
        <f t="shared" si="29"/>
        <v>1</v>
      </c>
      <c r="V153" s="1">
        <v>0</v>
      </c>
      <c r="W153" s="2">
        <f t="shared" si="27"/>
        <v>1</v>
      </c>
      <c r="X153" s="8">
        <f t="shared" si="28"/>
        <v>100</v>
      </c>
    </row>
    <row r="154" spans="1:24" ht="15" customHeight="1">
      <c r="A154" s="9">
        <v>46054</v>
      </c>
      <c r="B154" s="2" t="s">
        <v>45</v>
      </c>
      <c r="C154" s="2" t="s">
        <v>295</v>
      </c>
      <c r="D154" s="2" t="s">
        <v>1574</v>
      </c>
      <c r="E154" s="2" t="s">
        <v>1402</v>
      </c>
      <c r="F154" s="2" t="s">
        <v>1575</v>
      </c>
      <c r="G154" s="2" t="s">
        <v>1576</v>
      </c>
      <c r="H154" s="2" t="s">
        <v>24</v>
      </c>
      <c r="I154" s="6">
        <v>29.84</v>
      </c>
      <c r="J154" s="6">
        <v>1791657</v>
      </c>
      <c r="K154" s="6">
        <v>215289</v>
      </c>
      <c r="L154" s="6">
        <v>250000</v>
      </c>
      <c r="M154" s="6">
        <v>0</v>
      </c>
      <c r="N154" s="6">
        <v>26687</v>
      </c>
      <c r="O154" s="6">
        <v>1783633</v>
      </c>
      <c r="P154" s="2" t="s">
        <v>25</v>
      </c>
      <c r="Q154" s="2" t="s">
        <v>32</v>
      </c>
      <c r="R154" s="2" t="s">
        <v>50</v>
      </c>
      <c r="S154" s="5">
        <v>1</v>
      </c>
      <c r="T154" s="1">
        <v>0</v>
      </c>
      <c r="U154" s="2">
        <f t="shared" si="29"/>
        <v>1</v>
      </c>
      <c r="V154" s="1">
        <v>0</v>
      </c>
      <c r="W154" s="2">
        <f t="shared" si="27"/>
        <v>1</v>
      </c>
      <c r="X154" s="8">
        <f t="shared" si="28"/>
        <v>100</v>
      </c>
    </row>
    <row r="155" spans="1:24" ht="15" customHeight="1">
      <c r="A155" s="9">
        <v>46054</v>
      </c>
      <c r="B155" s="2" t="s">
        <v>45</v>
      </c>
      <c r="C155" s="2" t="s">
        <v>295</v>
      </c>
      <c r="D155" s="2" t="s">
        <v>1577</v>
      </c>
      <c r="E155" s="2" t="s">
        <v>1402</v>
      </c>
      <c r="F155" s="2" t="s">
        <v>1578</v>
      </c>
      <c r="G155" s="2" t="s">
        <v>1401</v>
      </c>
      <c r="H155" s="2" t="s">
        <v>24</v>
      </c>
      <c r="I155" s="6">
        <v>29.84</v>
      </c>
      <c r="J155" s="6">
        <v>3371676</v>
      </c>
      <c r="K155" s="6">
        <v>316811</v>
      </c>
      <c r="L155" s="6">
        <v>0</v>
      </c>
      <c r="M155" s="6">
        <v>0</v>
      </c>
      <c r="N155" s="6">
        <v>43013</v>
      </c>
      <c r="O155" s="6">
        <v>3731500</v>
      </c>
      <c r="P155" s="2" t="s">
        <v>25</v>
      </c>
      <c r="Q155" s="2" t="s">
        <v>32</v>
      </c>
      <c r="R155" s="2" t="s">
        <v>50</v>
      </c>
      <c r="S155" s="5">
        <v>1</v>
      </c>
      <c r="T155" s="1">
        <v>0</v>
      </c>
      <c r="U155" s="2">
        <f t="shared" si="29"/>
        <v>1</v>
      </c>
      <c r="V155" s="1">
        <v>0</v>
      </c>
      <c r="W155" s="2">
        <f t="shared" si="27"/>
        <v>1</v>
      </c>
      <c r="X155" s="8">
        <f t="shared" si="28"/>
        <v>100</v>
      </c>
    </row>
    <row r="156" spans="1:24" ht="15" customHeight="1">
      <c r="A156" s="9">
        <v>46054</v>
      </c>
      <c r="B156" s="2" t="s">
        <v>45</v>
      </c>
      <c r="C156" s="2" t="s">
        <v>295</v>
      </c>
      <c r="D156" s="2" t="s">
        <v>376</v>
      </c>
      <c r="E156" s="2" t="s">
        <v>377</v>
      </c>
      <c r="F156" s="2" t="s">
        <v>378</v>
      </c>
      <c r="G156" s="2"/>
      <c r="H156" s="2" t="s">
        <v>24</v>
      </c>
      <c r="I156" s="6">
        <v>40</v>
      </c>
      <c r="J156" s="6">
        <v>127315</v>
      </c>
      <c r="K156" s="6">
        <v>957352</v>
      </c>
      <c r="L156" s="6">
        <v>1089024</v>
      </c>
      <c r="M156" s="6">
        <v>0</v>
      </c>
      <c r="N156" s="6">
        <v>4357</v>
      </c>
      <c r="O156" s="6">
        <v>0</v>
      </c>
      <c r="P156" s="2" t="s">
        <v>25</v>
      </c>
      <c r="Q156" s="2" t="s">
        <v>32</v>
      </c>
      <c r="R156" s="2" t="s">
        <v>27</v>
      </c>
      <c r="S156" s="5">
        <v>1</v>
      </c>
      <c r="T156" s="1">
        <v>0</v>
      </c>
      <c r="U156" s="2">
        <f t="shared" si="29"/>
        <v>1</v>
      </c>
      <c r="V156" s="1">
        <v>0</v>
      </c>
      <c r="W156" s="2">
        <f t="shared" si="27"/>
        <v>1</v>
      </c>
      <c r="X156" s="8">
        <f t="shared" si="28"/>
        <v>100</v>
      </c>
    </row>
    <row r="157" spans="1:24" ht="15" customHeight="1">
      <c r="A157" s="9">
        <v>46054</v>
      </c>
      <c r="B157" s="2" t="s">
        <v>45</v>
      </c>
      <c r="C157" s="2" t="s">
        <v>295</v>
      </c>
      <c r="D157" s="2" t="s">
        <v>1579</v>
      </c>
      <c r="E157" s="2" t="s">
        <v>1402</v>
      </c>
      <c r="F157" s="2" t="s">
        <v>1580</v>
      </c>
      <c r="G157" s="2" t="s">
        <v>1581</v>
      </c>
      <c r="H157" s="2" t="s">
        <v>24</v>
      </c>
      <c r="I157" s="6">
        <v>29.84</v>
      </c>
      <c r="J157" s="6">
        <v>65830</v>
      </c>
      <c r="K157" s="6">
        <v>677324</v>
      </c>
      <c r="L157" s="6">
        <v>745195</v>
      </c>
      <c r="M157" s="6">
        <v>0</v>
      </c>
      <c r="N157" s="6">
        <v>30222</v>
      </c>
      <c r="O157" s="6">
        <v>28181</v>
      </c>
      <c r="P157" s="2" t="s">
        <v>25</v>
      </c>
      <c r="Q157" s="2" t="s">
        <v>32</v>
      </c>
      <c r="R157" s="2" t="s">
        <v>50</v>
      </c>
      <c r="S157" s="5">
        <v>1</v>
      </c>
      <c r="T157" s="1">
        <v>0</v>
      </c>
      <c r="U157" s="2">
        <f t="shared" si="29"/>
        <v>1</v>
      </c>
      <c r="V157" s="1">
        <v>0</v>
      </c>
      <c r="W157" s="2">
        <f t="shared" si="27"/>
        <v>1</v>
      </c>
      <c r="X157" s="8">
        <f t="shared" si="28"/>
        <v>100</v>
      </c>
    </row>
    <row r="158" spans="1:24" ht="15" customHeight="1">
      <c r="A158" s="9">
        <v>46054</v>
      </c>
      <c r="B158" s="2" t="s">
        <v>45</v>
      </c>
      <c r="C158" s="2" t="s">
        <v>295</v>
      </c>
      <c r="D158" s="2" t="s">
        <v>379</v>
      </c>
      <c r="E158" s="2" t="s">
        <v>357</v>
      </c>
      <c r="F158" s="2" t="s">
        <v>380</v>
      </c>
      <c r="G158" s="2" t="s">
        <v>381</v>
      </c>
      <c r="H158" s="2" t="s">
        <v>24</v>
      </c>
      <c r="I158" s="6">
        <v>29.84</v>
      </c>
      <c r="J158" s="6">
        <v>12529</v>
      </c>
      <c r="K158" s="6">
        <v>205796</v>
      </c>
      <c r="L158" s="6">
        <v>218325</v>
      </c>
      <c r="M158" s="6">
        <v>0</v>
      </c>
      <c r="N158" s="6">
        <v>0</v>
      </c>
      <c r="O158" s="6">
        <v>0</v>
      </c>
      <c r="P158" s="2" t="s">
        <v>25</v>
      </c>
      <c r="Q158" s="2" t="s">
        <v>32</v>
      </c>
      <c r="R158" s="2" t="s">
        <v>126</v>
      </c>
      <c r="S158" s="5">
        <v>1</v>
      </c>
      <c r="T158" s="1">
        <v>0</v>
      </c>
      <c r="U158" s="2">
        <f t="shared" si="29"/>
        <v>1</v>
      </c>
      <c r="V158" s="1">
        <v>0</v>
      </c>
      <c r="W158" s="2">
        <f t="shared" si="27"/>
        <v>1</v>
      </c>
      <c r="X158" s="8">
        <f t="shared" si="28"/>
        <v>100</v>
      </c>
    </row>
    <row r="159" spans="1:24" ht="15" customHeight="1">
      <c r="A159" s="9">
        <v>46054</v>
      </c>
      <c r="B159" s="2" t="s">
        <v>45</v>
      </c>
      <c r="C159" s="2" t="s">
        <v>295</v>
      </c>
      <c r="D159" s="2" t="s">
        <v>382</v>
      </c>
      <c r="E159" s="2" t="s">
        <v>161</v>
      </c>
      <c r="F159" s="2" t="s">
        <v>383</v>
      </c>
      <c r="G159" s="2" t="s">
        <v>65</v>
      </c>
      <c r="H159" s="2" t="s">
        <v>24</v>
      </c>
      <c r="I159" s="6">
        <v>47</v>
      </c>
      <c r="J159" s="6">
        <v>1130</v>
      </c>
      <c r="K159" s="6">
        <v>383487</v>
      </c>
      <c r="L159" s="6">
        <v>384617</v>
      </c>
      <c r="M159" s="6">
        <v>0</v>
      </c>
      <c r="N159" s="6">
        <v>0</v>
      </c>
      <c r="O159" s="6">
        <v>0</v>
      </c>
      <c r="P159" s="2" t="s">
        <v>25</v>
      </c>
      <c r="Q159" s="2" t="s">
        <v>32</v>
      </c>
      <c r="R159" s="2" t="s">
        <v>27</v>
      </c>
      <c r="S159" s="5">
        <v>1</v>
      </c>
      <c r="T159" s="1">
        <v>0</v>
      </c>
      <c r="U159" s="2">
        <f t="shared" si="29"/>
        <v>1</v>
      </c>
      <c r="V159" s="1">
        <v>0</v>
      </c>
      <c r="W159" s="2">
        <f t="shared" si="27"/>
        <v>1</v>
      </c>
      <c r="X159" s="8">
        <f t="shared" si="28"/>
        <v>100</v>
      </c>
    </row>
    <row r="160" spans="1:24" ht="15" customHeight="1">
      <c r="A160" s="9">
        <v>46054</v>
      </c>
      <c r="B160" s="2" t="s">
        <v>45</v>
      </c>
      <c r="C160" s="2" t="s">
        <v>295</v>
      </c>
      <c r="D160" s="2" t="s">
        <v>384</v>
      </c>
      <c r="E160" s="2" t="s">
        <v>385</v>
      </c>
      <c r="F160" s="2" t="s">
        <v>371</v>
      </c>
      <c r="G160" s="2" t="s">
        <v>23</v>
      </c>
      <c r="H160" s="2" t="s">
        <v>24</v>
      </c>
      <c r="I160" s="6">
        <v>40</v>
      </c>
      <c r="J160" s="6">
        <v>16947</v>
      </c>
      <c r="K160" s="6">
        <v>331784</v>
      </c>
      <c r="L160" s="6">
        <v>348731</v>
      </c>
      <c r="M160" s="6">
        <v>0</v>
      </c>
      <c r="N160" s="6">
        <v>0</v>
      </c>
      <c r="O160" s="6">
        <v>0</v>
      </c>
      <c r="P160" s="2" t="s">
        <v>25</v>
      </c>
      <c r="Q160" s="2" t="s">
        <v>32</v>
      </c>
      <c r="R160" s="2" t="s">
        <v>27</v>
      </c>
      <c r="S160" s="5">
        <v>1</v>
      </c>
      <c r="T160" s="1">
        <v>0</v>
      </c>
      <c r="U160" s="2">
        <f t="shared" si="29"/>
        <v>1</v>
      </c>
      <c r="V160" s="1">
        <v>0</v>
      </c>
      <c r="W160" s="2">
        <f t="shared" si="27"/>
        <v>1</v>
      </c>
      <c r="X160" s="8">
        <f t="shared" si="28"/>
        <v>100</v>
      </c>
    </row>
    <row r="161" spans="1:24" ht="15" customHeight="1">
      <c r="A161" s="9">
        <v>46054</v>
      </c>
      <c r="B161" s="2" t="s">
        <v>45</v>
      </c>
      <c r="C161" s="2" t="s">
        <v>295</v>
      </c>
      <c r="D161" s="2" t="s">
        <v>1399</v>
      </c>
      <c r="E161" s="2" t="s">
        <v>60</v>
      </c>
      <c r="F161" s="2" t="s">
        <v>1400</v>
      </c>
      <c r="G161" s="2" t="s">
        <v>1401</v>
      </c>
      <c r="H161" s="2" t="s">
        <v>24</v>
      </c>
      <c r="I161" s="6">
        <v>29.84</v>
      </c>
      <c r="J161" s="6">
        <v>2444</v>
      </c>
      <c r="K161" s="6">
        <v>55381</v>
      </c>
      <c r="L161" s="6">
        <v>57825</v>
      </c>
      <c r="M161" s="6">
        <v>0</v>
      </c>
      <c r="N161" s="6">
        <v>0</v>
      </c>
      <c r="O161" s="6">
        <v>0</v>
      </c>
      <c r="P161" s="2" t="s">
        <v>25</v>
      </c>
      <c r="Q161" s="2" t="s">
        <v>32</v>
      </c>
      <c r="R161" s="2" t="s">
        <v>397</v>
      </c>
      <c r="S161" s="5">
        <v>1</v>
      </c>
      <c r="T161" s="1">
        <v>0</v>
      </c>
      <c r="U161" s="2">
        <f t="shared" si="29"/>
        <v>1</v>
      </c>
      <c r="V161" s="1">
        <v>0</v>
      </c>
      <c r="W161" s="2">
        <f t="shared" si="27"/>
        <v>1</v>
      </c>
      <c r="X161" s="8">
        <f t="shared" si="28"/>
        <v>100</v>
      </c>
    </row>
    <row r="162" spans="1:24" ht="15" customHeight="1">
      <c r="A162" s="9">
        <v>46054</v>
      </c>
      <c r="B162" s="2" t="s">
        <v>45</v>
      </c>
      <c r="C162" s="2" t="s">
        <v>295</v>
      </c>
      <c r="D162" s="2" t="s">
        <v>1582</v>
      </c>
      <c r="E162" s="2" t="s">
        <v>1402</v>
      </c>
      <c r="F162" s="2" t="s">
        <v>1583</v>
      </c>
      <c r="G162" s="2" t="s">
        <v>65</v>
      </c>
      <c r="H162" s="2" t="s">
        <v>24</v>
      </c>
      <c r="I162" s="6">
        <v>29.84</v>
      </c>
      <c r="J162" s="6">
        <v>15547</v>
      </c>
      <c r="K162" s="6">
        <v>41163</v>
      </c>
      <c r="L162" s="6">
        <v>56710</v>
      </c>
      <c r="M162" s="6">
        <v>0</v>
      </c>
      <c r="N162" s="6">
        <v>0</v>
      </c>
      <c r="O162" s="6">
        <v>0</v>
      </c>
      <c r="P162" s="2" t="s">
        <v>25</v>
      </c>
      <c r="Q162" s="2" t="s">
        <v>32</v>
      </c>
      <c r="R162" s="2" t="s">
        <v>50</v>
      </c>
      <c r="S162" s="5">
        <v>1</v>
      </c>
      <c r="T162" s="1">
        <v>0</v>
      </c>
      <c r="U162" s="2">
        <f t="shared" si="29"/>
        <v>1</v>
      </c>
      <c r="V162" s="1">
        <v>0</v>
      </c>
      <c r="W162" s="2">
        <f t="shared" si="27"/>
        <v>1</v>
      </c>
      <c r="X162" s="8">
        <f t="shared" si="28"/>
        <v>100</v>
      </c>
    </row>
    <row r="163" spans="1:24" ht="15" customHeight="1">
      <c r="A163" s="9">
        <v>46054</v>
      </c>
      <c r="B163" s="2" t="s">
        <v>45</v>
      </c>
      <c r="C163" s="2" t="s">
        <v>295</v>
      </c>
      <c r="D163" s="2" t="s">
        <v>386</v>
      </c>
      <c r="E163" s="2" t="s">
        <v>387</v>
      </c>
      <c r="F163" s="2" t="s">
        <v>371</v>
      </c>
      <c r="G163" s="2" t="s">
        <v>23</v>
      </c>
      <c r="H163" s="2" t="s">
        <v>24</v>
      </c>
      <c r="I163" s="6">
        <v>40</v>
      </c>
      <c r="J163" s="6">
        <v>81778</v>
      </c>
      <c r="K163" s="6">
        <v>351602</v>
      </c>
      <c r="L163" s="6">
        <v>436134</v>
      </c>
      <c r="M163" s="6">
        <v>0</v>
      </c>
      <c r="N163" s="6">
        <v>2754</v>
      </c>
      <c r="O163" s="6">
        <v>0</v>
      </c>
      <c r="P163" s="2" t="s">
        <v>25</v>
      </c>
      <c r="Q163" s="2" t="s">
        <v>32</v>
      </c>
      <c r="R163" s="2" t="s">
        <v>27</v>
      </c>
      <c r="S163" s="5">
        <v>1</v>
      </c>
      <c r="T163" s="1">
        <v>0</v>
      </c>
      <c r="U163" s="2">
        <f t="shared" si="29"/>
        <v>1</v>
      </c>
      <c r="V163" s="1">
        <v>0</v>
      </c>
      <c r="W163" s="2">
        <f t="shared" si="27"/>
        <v>1</v>
      </c>
      <c r="X163" s="8">
        <f t="shared" si="28"/>
        <v>100</v>
      </c>
    </row>
    <row r="164" spans="1:24" ht="15" customHeight="1">
      <c r="A164" s="9">
        <v>46054</v>
      </c>
      <c r="B164" s="2" t="s">
        <v>45</v>
      </c>
      <c r="C164" s="2" t="s">
        <v>295</v>
      </c>
      <c r="D164" s="2" t="s">
        <v>388</v>
      </c>
      <c r="E164" s="2" t="s">
        <v>389</v>
      </c>
      <c r="F164" s="2" t="s">
        <v>390</v>
      </c>
      <c r="G164" s="2" t="s">
        <v>391</v>
      </c>
      <c r="H164" s="2" t="s">
        <v>24</v>
      </c>
      <c r="I164" s="6">
        <v>34</v>
      </c>
      <c r="J164" s="6">
        <v>37524</v>
      </c>
      <c r="K164" s="6">
        <v>636059</v>
      </c>
      <c r="L164" s="6">
        <v>673633</v>
      </c>
      <c r="M164" s="6">
        <v>0</v>
      </c>
      <c r="N164" s="6">
        <v>26849</v>
      </c>
      <c r="O164" s="6">
        <v>26799</v>
      </c>
      <c r="P164" s="2" t="s">
        <v>25</v>
      </c>
      <c r="Q164" s="2" t="s">
        <v>32</v>
      </c>
      <c r="R164" s="2" t="s">
        <v>27</v>
      </c>
      <c r="S164" s="5">
        <v>1</v>
      </c>
      <c r="T164" s="1">
        <v>0</v>
      </c>
      <c r="U164" s="2">
        <f t="shared" si="29"/>
        <v>1</v>
      </c>
      <c r="V164" s="1">
        <v>0</v>
      </c>
      <c r="W164" s="2">
        <f t="shared" si="27"/>
        <v>1</v>
      </c>
      <c r="X164" s="8">
        <f t="shared" si="28"/>
        <v>100</v>
      </c>
    </row>
    <row r="165" spans="1:24" ht="15" customHeight="1">
      <c r="A165" s="9">
        <v>46054</v>
      </c>
      <c r="B165" s="2" t="s">
        <v>45</v>
      </c>
      <c r="C165" s="2" t="s">
        <v>295</v>
      </c>
      <c r="D165" s="2" t="s">
        <v>392</v>
      </c>
      <c r="E165" s="2" t="s">
        <v>161</v>
      </c>
      <c r="F165" s="2" t="s">
        <v>393</v>
      </c>
      <c r="G165" s="2" t="s">
        <v>65</v>
      </c>
      <c r="H165" s="2" t="s">
        <v>24</v>
      </c>
      <c r="I165" s="6">
        <v>40</v>
      </c>
      <c r="J165" s="6">
        <v>13929</v>
      </c>
      <c r="K165" s="6">
        <v>392400</v>
      </c>
      <c r="L165" s="6">
        <v>406329</v>
      </c>
      <c r="M165" s="6">
        <v>0</v>
      </c>
      <c r="N165" s="6">
        <v>0</v>
      </c>
      <c r="O165" s="6">
        <v>0</v>
      </c>
      <c r="P165" s="2" t="s">
        <v>25</v>
      </c>
      <c r="Q165" s="2" t="s">
        <v>32</v>
      </c>
      <c r="R165" s="2" t="s">
        <v>27</v>
      </c>
      <c r="S165" s="5">
        <v>1</v>
      </c>
      <c r="T165" s="1">
        <v>0</v>
      </c>
      <c r="U165" s="2">
        <f t="shared" si="29"/>
        <v>1</v>
      </c>
      <c r="V165" s="1">
        <v>0</v>
      </c>
      <c r="W165" s="2">
        <f t="shared" si="27"/>
        <v>1</v>
      </c>
      <c r="X165" s="8">
        <f t="shared" si="28"/>
        <v>100</v>
      </c>
    </row>
    <row r="166" spans="1:24" ht="15" customHeight="1">
      <c r="A166" s="9">
        <v>46054</v>
      </c>
      <c r="B166" s="2" t="s">
        <v>45</v>
      </c>
      <c r="C166" s="2" t="s">
        <v>295</v>
      </c>
      <c r="D166" s="2" t="s">
        <v>394</v>
      </c>
      <c r="E166" s="2" t="s">
        <v>60</v>
      </c>
      <c r="F166" s="2" t="s">
        <v>395</v>
      </c>
      <c r="G166" s="2" t="s">
        <v>396</v>
      </c>
      <c r="H166" s="2" t="s">
        <v>24</v>
      </c>
      <c r="I166" s="6">
        <v>29.84</v>
      </c>
      <c r="J166" s="6">
        <v>57854</v>
      </c>
      <c r="K166" s="6">
        <v>415530</v>
      </c>
      <c r="L166" s="6">
        <v>475374</v>
      </c>
      <c r="M166" s="6">
        <v>0</v>
      </c>
      <c r="N166" s="6">
        <v>1990</v>
      </c>
      <c r="O166" s="6">
        <v>0</v>
      </c>
      <c r="P166" s="2" t="s">
        <v>25</v>
      </c>
      <c r="Q166" s="2" t="s">
        <v>32</v>
      </c>
      <c r="R166" s="2" t="s">
        <v>397</v>
      </c>
      <c r="S166" s="5">
        <v>1</v>
      </c>
      <c r="T166" s="1">
        <v>0</v>
      </c>
      <c r="U166" s="2">
        <f t="shared" si="29"/>
        <v>1</v>
      </c>
      <c r="V166" s="1">
        <v>0</v>
      </c>
      <c r="W166" s="2">
        <f t="shared" si="27"/>
        <v>1</v>
      </c>
      <c r="X166" s="8">
        <f t="shared" si="28"/>
        <v>100</v>
      </c>
    </row>
    <row r="167" spans="1:24" ht="15" customHeight="1">
      <c r="A167" s="9">
        <v>46054</v>
      </c>
      <c r="B167" s="2" t="s">
        <v>45</v>
      </c>
      <c r="C167" s="2" t="s">
        <v>295</v>
      </c>
      <c r="D167" s="2" t="s">
        <v>398</v>
      </c>
      <c r="E167" s="2" t="s">
        <v>117</v>
      </c>
      <c r="F167" s="2" t="s">
        <v>399</v>
      </c>
      <c r="G167" s="2" t="s">
        <v>345</v>
      </c>
      <c r="H167" s="2" t="s">
        <v>24</v>
      </c>
      <c r="I167" s="6">
        <v>35</v>
      </c>
      <c r="J167" s="6">
        <v>81660</v>
      </c>
      <c r="K167" s="6">
        <v>711753</v>
      </c>
      <c r="L167" s="6">
        <v>796309</v>
      </c>
      <c r="M167" s="6">
        <v>0</v>
      </c>
      <c r="N167" s="6">
        <v>2896</v>
      </c>
      <c r="O167" s="6">
        <v>0</v>
      </c>
      <c r="P167" s="2" t="s">
        <v>25</v>
      </c>
      <c r="Q167" s="2" t="s">
        <v>32</v>
      </c>
      <c r="R167" s="2" t="s">
        <v>50</v>
      </c>
      <c r="S167" s="5">
        <v>1</v>
      </c>
      <c r="T167" s="1">
        <v>0</v>
      </c>
      <c r="U167" s="2">
        <f t="shared" si="29"/>
        <v>1</v>
      </c>
      <c r="V167" s="1">
        <v>0</v>
      </c>
      <c r="W167" s="2">
        <f t="shared" si="27"/>
        <v>1</v>
      </c>
      <c r="X167" s="8">
        <f t="shared" si="28"/>
        <v>100</v>
      </c>
    </row>
    <row r="168" spans="1:24" ht="15" customHeight="1">
      <c r="A168" s="9">
        <v>46054</v>
      </c>
      <c r="B168" s="2" t="s">
        <v>45</v>
      </c>
      <c r="C168" s="2" t="s">
        <v>295</v>
      </c>
      <c r="D168" s="2" t="s">
        <v>400</v>
      </c>
      <c r="E168" s="2" t="s">
        <v>401</v>
      </c>
      <c r="F168" s="2" t="s">
        <v>402</v>
      </c>
      <c r="G168" s="2" t="s">
        <v>355</v>
      </c>
      <c r="H168" s="2" t="s">
        <v>24</v>
      </c>
      <c r="I168" s="6">
        <v>37</v>
      </c>
      <c r="J168" s="6">
        <v>114149</v>
      </c>
      <c r="K168" s="6">
        <v>672613</v>
      </c>
      <c r="L168" s="6">
        <v>790363</v>
      </c>
      <c r="M168" s="6">
        <v>0</v>
      </c>
      <c r="N168" s="6">
        <v>3601</v>
      </c>
      <c r="O168" s="6">
        <v>0</v>
      </c>
      <c r="P168" s="2" t="s">
        <v>25</v>
      </c>
      <c r="Q168" s="2" t="s">
        <v>32</v>
      </c>
      <c r="R168" s="2" t="s">
        <v>27</v>
      </c>
      <c r="S168" s="5">
        <v>1</v>
      </c>
      <c r="T168" s="1">
        <v>0</v>
      </c>
      <c r="U168" s="2">
        <f t="shared" si="29"/>
        <v>1</v>
      </c>
      <c r="V168" s="1">
        <v>0</v>
      </c>
      <c r="W168" s="2">
        <f t="shared" si="27"/>
        <v>1</v>
      </c>
      <c r="X168" s="8">
        <f t="shared" si="28"/>
        <v>100</v>
      </c>
    </row>
    <row r="169" spans="1:24" ht="15" customHeight="1">
      <c r="A169" s="9">
        <v>46054</v>
      </c>
      <c r="B169" s="2" t="s">
        <v>45</v>
      </c>
      <c r="C169" s="2" t="s">
        <v>295</v>
      </c>
      <c r="D169" s="2" t="s">
        <v>403</v>
      </c>
      <c r="E169" s="2" t="s">
        <v>404</v>
      </c>
      <c r="F169" s="2" t="s">
        <v>405</v>
      </c>
      <c r="G169" s="2" t="s">
        <v>65</v>
      </c>
      <c r="H169" s="2" t="s">
        <v>24</v>
      </c>
      <c r="I169" s="6">
        <v>20</v>
      </c>
      <c r="J169" s="6">
        <v>188</v>
      </c>
      <c r="K169" s="6">
        <v>16604</v>
      </c>
      <c r="L169" s="6">
        <v>16792</v>
      </c>
      <c r="M169" s="6">
        <v>0</v>
      </c>
      <c r="N169" s="6">
        <v>695</v>
      </c>
      <c r="O169" s="6">
        <v>695</v>
      </c>
      <c r="P169" s="2" t="s">
        <v>25</v>
      </c>
      <c r="Q169" s="2" t="s">
        <v>32</v>
      </c>
      <c r="R169" s="2" t="s">
        <v>27</v>
      </c>
      <c r="S169" s="5">
        <v>1</v>
      </c>
      <c r="T169" s="1">
        <v>0</v>
      </c>
      <c r="U169" s="2">
        <f t="shared" si="29"/>
        <v>1</v>
      </c>
      <c r="V169" s="1">
        <v>0</v>
      </c>
      <c r="W169" s="2">
        <f t="shared" si="27"/>
        <v>1</v>
      </c>
      <c r="X169" s="8">
        <f t="shared" si="28"/>
        <v>100</v>
      </c>
    </row>
    <row r="170" spans="1:24" ht="15" customHeight="1">
      <c r="A170" s="9">
        <v>46054</v>
      </c>
      <c r="B170" s="2" t="s">
        <v>45</v>
      </c>
      <c r="C170" s="2" t="s">
        <v>295</v>
      </c>
      <c r="D170" s="2" t="s">
        <v>406</v>
      </c>
      <c r="E170" s="2" t="s">
        <v>334</v>
      </c>
      <c r="F170" s="2" t="s">
        <v>407</v>
      </c>
      <c r="G170" s="2" t="s">
        <v>408</v>
      </c>
      <c r="H170" s="2" t="s">
        <v>24</v>
      </c>
      <c r="I170" s="6">
        <v>29.84</v>
      </c>
      <c r="J170" s="6">
        <v>6337</v>
      </c>
      <c r="K170" s="6">
        <v>74442</v>
      </c>
      <c r="L170" s="6">
        <v>80779</v>
      </c>
      <c r="M170" s="6">
        <v>0</v>
      </c>
      <c r="N170" s="6">
        <v>0</v>
      </c>
      <c r="O170" s="6">
        <v>0</v>
      </c>
      <c r="P170" s="2" t="s">
        <v>25</v>
      </c>
      <c r="Q170" s="2" t="s">
        <v>32</v>
      </c>
      <c r="R170" s="2" t="s">
        <v>27</v>
      </c>
      <c r="S170" s="5">
        <v>1</v>
      </c>
      <c r="T170" s="1">
        <v>0</v>
      </c>
      <c r="U170" s="2">
        <f t="shared" si="29"/>
        <v>1</v>
      </c>
      <c r="V170" s="1">
        <v>0</v>
      </c>
      <c r="W170" s="2">
        <f t="shared" si="27"/>
        <v>1</v>
      </c>
      <c r="X170" s="8">
        <f t="shared" si="28"/>
        <v>100</v>
      </c>
    </row>
    <row r="171" spans="1:24" ht="15" customHeight="1">
      <c r="A171" s="9">
        <v>46054</v>
      </c>
      <c r="B171" s="2" t="s">
        <v>45</v>
      </c>
      <c r="C171" s="2" t="s">
        <v>414</v>
      </c>
      <c r="D171" s="2" t="s">
        <v>415</v>
      </c>
      <c r="E171" s="2" t="s">
        <v>416</v>
      </c>
      <c r="F171" s="2" t="s">
        <v>417</v>
      </c>
      <c r="G171" s="2" t="s">
        <v>418</v>
      </c>
      <c r="H171" s="2" t="s">
        <v>24</v>
      </c>
      <c r="I171" s="6">
        <v>30</v>
      </c>
      <c r="J171" s="6">
        <v>60211</v>
      </c>
      <c r="K171" s="6">
        <v>582001</v>
      </c>
      <c r="L171" s="6">
        <v>644562</v>
      </c>
      <c r="M171" s="6">
        <v>0</v>
      </c>
      <c r="N171" s="6">
        <v>2350</v>
      </c>
      <c r="O171" s="6">
        <v>0</v>
      </c>
      <c r="P171" s="2" t="s">
        <v>25</v>
      </c>
      <c r="Q171" s="2" t="s">
        <v>32</v>
      </c>
      <c r="R171" s="2" t="s">
        <v>27</v>
      </c>
      <c r="S171" s="5">
        <v>1</v>
      </c>
      <c r="T171" s="1">
        <v>0</v>
      </c>
      <c r="U171" s="2">
        <f t="shared" si="29"/>
        <v>1</v>
      </c>
      <c r="V171" s="1">
        <v>0</v>
      </c>
      <c r="W171" s="2">
        <f t="shared" si="27"/>
        <v>1</v>
      </c>
      <c r="X171" s="8">
        <f t="shared" si="28"/>
        <v>100</v>
      </c>
    </row>
    <row r="172" spans="1:24" ht="15" customHeight="1">
      <c r="A172" s="9">
        <v>46054</v>
      </c>
      <c r="B172" s="2" t="s">
        <v>45</v>
      </c>
      <c r="C172" s="2" t="s">
        <v>414</v>
      </c>
      <c r="D172" s="2" t="s">
        <v>419</v>
      </c>
      <c r="E172" s="2" t="s">
        <v>420</v>
      </c>
      <c r="F172" s="2" t="s">
        <v>421</v>
      </c>
      <c r="G172" s="2" t="s">
        <v>65</v>
      </c>
      <c r="H172" s="2" t="s">
        <v>24</v>
      </c>
      <c r="I172" s="6">
        <v>5</v>
      </c>
      <c r="J172" s="6">
        <v>50</v>
      </c>
      <c r="K172" s="6">
        <v>1180</v>
      </c>
      <c r="L172" s="6">
        <v>1230</v>
      </c>
      <c r="M172" s="6">
        <v>0</v>
      </c>
      <c r="N172" s="6">
        <v>50</v>
      </c>
      <c r="O172" s="6">
        <v>50</v>
      </c>
      <c r="P172" s="2" t="s">
        <v>25</v>
      </c>
      <c r="Q172" s="2" t="s">
        <v>32</v>
      </c>
      <c r="R172" s="2" t="s">
        <v>27</v>
      </c>
      <c r="S172" s="5">
        <v>0</v>
      </c>
      <c r="T172" s="1">
        <v>1</v>
      </c>
      <c r="U172" s="2">
        <f t="shared" si="29"/>
        <v>1</v>
      </c>
      <c r="V172" s="1">
        <v>0</v>
      </c>
      <c r="W172" s="2">
        <f t="shared" si="27"/>
        <v>1</v>
      </c>
      <c r="X172" s="8">
        <f t="shared" si="28"/>
        <v>0</v>
      </c>
    </row>
    <row r="173" spans="1:24" ht="15" customHeight="1">
      <c r="A173" s="9">
        <v>46054</v>
      </c>
      <c r="B173" s="2" t="s">
        <v>45</v>
      </c>
      <c r="C173" s="2" t="s">
        <v>414</v>
      </c>
      <c r="D173" s="2" t="s">
        <v>422</v>
      </c>
      <c r="E173" s="2" t="s">
        <v>101</v>
      </c>
      <c r="F173" s="2" t="s">
        <v>423</v>
      </c>
      <c r="G173" s="2" t="s">
        <v>424</v>
      </c>
      <c r="H173" s="2" t="s">
        <v>24</v>
      </c>
      <c r="I173" s="6">
        <v>22.38</v>
      </c>
      <c r="J173" s="6">
        <v>2497847</v>
      </c>
      <c r="K173" s="6">
        <v>123479</v>
      </c>
      <c r="L173" s="6">
        <v>500000</v>
      </c>
      <c r="M173" s="6">
        <v>0</v>
      </c>
      <c r="N173" s="6">
        <v>18125</v>
      </c>
      <c r="O173" s="6">
        <v>2139451</v>
      </c>
      <c r="P173" s="2" t="s">
        <v>25</v>
      </c>
      <c r="Q173" s="2" t="s">
        <v>32</v>
      </c>
      <c r="R173" s="2" t="s">
        <v>27</v>
      </c>
      <c r="S173" s="5">
        <v>0</v>
      </c>
      <c r="T173" s="1">
        <v>1</v>
      </c>
      <c r="U173" s="2">
        <f t="shared" si="29"/>
        <v>1</v>
      </c>
      <c r="V173" s="1">
        <v>0</v>
      </c>
      <c r="W173" s="2">
        <f t="shared" si="27"/>
        <v>1</v>
      </c>
      <c r="X173" s="8">
        <f t="shared" si="28"/>
        <v>0</v>
      </c>
    </row>
    <row r="174" spans="1:24" ht="15" customHeight="1">
      <c r="A174" s="9">
        <v>46054</v>
      </c>
      <c r="B174" s="2" t="s">
        <v>45</v>
      </c>
      <c r="C174" s="2" t="s">
        <v>414</v>
      </c>
      <c r="D174" s="2" t="s">
        <v>425</v>
      </c>
      <c r="E174" s="2" t="s">
        <v>426</v>
      </c>
      <c r="F174" s="2" t="s">
        <v>427</v>
      </c>
      <c r="G174" s="2" t="s">
        <v>428</v>
      </c>
      <c r="H174" s="2" t="s">
        <v>24</v>
      </c>
      <c r="I174" s="6">
        <v>31.19</v>
      </c>
      <c r="J174" s="6">
        <v>-1351</v>
      </c>
      <c r="K174" s="6">
        <v>1180</v>
      </c>
      <c r="L174" s="6">
        <v>0</v>
      </c>
      <c r="M174" s="6">
        <v>0</v>
      </c>
      <c r="N174" s="6">
        <v>0</v>
      </c>
      <c r="O174" s="6">
        <v>-171</v>
      </c>
      <c r="P174" s="2" t="s">
        <v>25</v>
      </c>
      <c r="Q174" s="2" t="s">
        <v>32</v>
      </c>
      <c r="R174" s="2" t="s">
        <v>27</v>
      </c>
      <c r="S174" s="5">
        <v>0</v>
      </c>
      <c r="T174" s="1">
        <v>1</v>
      </c>
      <c r="U174" s="2">
        <f t="shared" si="29"/>
        <v>1</v>
      </c>
      <c r="V174" s="1">
        <v>0</v>
      </c>
      <c r="W174" s="2">
        <f t="shared" si="27"/>
        <v>1</v>
      </c>
      <c r="X174" s="8">
        <f t="shared" si="28"/>
        <v>0</v>
      </c>
    </row>
    <row r="175" spans="1:24" ht="15" customHeight="1">
      <c r="A175" s="9">
        <v>46054</v>
      </c>
      <c r="B175" s="2" t="s">
        <v>45</v>
      </c>
      <c r="C175" s="2" t="s">
        <v>414</v>
      </c>
      <c r="D175" s="2" t="s">
        <v>429</v>
      </c>
      <c r="E175" s="2" t="s">
        <v>430</v>
      </c>
      <c r="F175" s="2" t="s">
        <v>431</v>
      </c>
      <c r="G175" s="2" t="s">
        <v>23</v>
      </c>
      <c r="H175" s="2" t="s">
        <v>24</v>
      </c>
      <c r="I175" s="6">
        <v>35</v>
      </c>
      <c r="J175" s="6">
        <v>366583</v>
      </c>
      <c r="K175" s="6">
        <v>1180</v>
      </c>
      <c r="L175" s="6">
        <v>0</v>
      </c>
      <c r="M175" s="6">
        <v>0</v>
      </c>
      <c r="N175" s="6">
        <v>150</v>
      </c>
      <c r="O175" s="6">
        <v>367913</v>
      </c>
      <c r="P175" s="2" t="s">
        <v>25</v>
      </c>
      <c r="Q175" s="2" t="s">
        <v>32</v>
      </c>
      <c r="R175" s="2" t="s">
        <v>27</v>
      </c>
      <c r="S175" s="5">
        <v>1</v>
      </c>
      <c r="T175" s="1">
        <v>0</v>
      </c>
      <c r="U175" s="2">
        <f t="shared" si="29"/>
        <v>1</v>
      </c>
      <c r="V175" s="1">
        <v>0</v>
      </c>
      <c r="W175" s="2">
        <f t="shared" si="27"/>
        <v>1</v>
      </c>
      <c r="X175" s="8">
        <f t="shared" si="28"/>
        <v>100</v>
      </c>
    </row>
    <row r="176" spans="1:24" ht="15" customHeight="1">
      <c r="A176" s="9">
        <v>46054</v>
      </c>
      <c r="B176" s="2" t="s">
        <v>45</v>
      </c>
      <c r="C176" s="2" t="s">
        <v>414</v>
      </c>
      <c r="D176" s="2" t="s">
        <v>432</v>
      </c>
      <c r="E176" s="2" t="s">
        <v>433</v>
      </c>
      <c r="F176" s="2" t="s">
        <v>434</v>
      </c>
      <c r="G176" s="2" t="s">
        <v>65</v>
      </c>
      <c r="H176" s="2" t="s">
        <v>24</v>
      </c>
      <c r="I176" s="6">
        <v>37.299999999999997</v>
      </c>
      <c r="J176" s="6">
        <v>79977</v>
      </c>
      <c r="K176" s="6">
        <v>395771</v>
      </c>
      <c r="L176" s="6">
        <v>478668</v>
      </c>
      <c r="M176" s="6">
        <v>0</v>
      </c>
      <c r="N176" s="6">
        <v>2920</v>
      </c>
      <c r="O176" s="6">
        <v>0</v>
      </c>
      <c r="P176" s="2" t="s">
        <v>25</v>
      </c>
      <c r="Q176" s="2" t="s">
        <v>32</v>
      </c>
      <c r="R176" s="2" t="s">
        <v>27</v>
      </c>
      <c r="S176" s="5">
        <v>0</v>
      </c>
      <c r="T176" s="1">
        <v>1</v>
      </c>
      <c r="U176" s="2">
        <f t="shared" si="29"/>
        <v>1</v>
      </c>
      <c r="V176" s="1">
        <v>0</v>
      </c>
      <c r="W176" s="2">
        <f t="shared" si="27"/>
        <v>1</v>
      </c>
      <c r="X176" s="8">
        <f t="shared" si="28"/>
        <v>0</v>
      </c>
    </row>
    <row r="177" spans="1:24" ht="15" customHeight="1">
      <c r="A177" s="9">
        <v>46054</v>
      </c>
      <c r="B177" s="2" t="s">
        <v>45</v>
      </c>
      <c r="C177" s="2" t="s">
        <v>414</v>
      </c>
      <c r="D177" s="2" t="s">
        <v>435</v>
      </c>
      <c r="E177" s="2" t="s">
        <v>117</v>
      </c>
      <c r="F177" s="2" t="s">
        <v>436</v>
      </c>
      <c r="G177" s="2" t="s">
        <v>65</v>
      </c>
      <c r="H177" s="2" t="s">
        <v>24</v>
      </c>
      <c r="I177" s="6">
        <v>29.84</v>
      </c>
      <c r="J177" s="6">
        <v>18441</v>
      </c>
      <c r="K177" s="6">
        <v>343690</v>
      </c>
      <c r="L177" s="6">
        <v>362131</v>
      </c>
      <c r="M177" s="6">
        <v>0</v>
      </c>
      <c r="N177" s="6">
        <v>14323</v>
      </c>
      <c r="O177" s="6">
        <v>14323</v>
      </c>
      <c r="P177" s="2" t="s">
        <v>25</v>
      </c>
      <c r="Q177" s="2" t="s">
        <v>32</v>
      </c>
      <c r="R177" s="2" t="s">
        <v>126</v>
      </c>
      <c r="S177" s="5">
        <v>0</v>
      </c>
      <c r="T177" s="1">
        <v>1</v>
      </c>
      <c r="U177" s="2">
        <f t="shared" si="29"/>
        <v>1</v>
      </c>
      <c r="V177" s="1">
        <v>0</v>
      </c>
      <c r="W177" s="2">
        <f t="shared" si="27"/>
        <v>1</v>
      </c>
      <c r="X177" s="8">
        <f t="shared" si="28"/>
        <v>0</v>
      </c>
    </row>
    <row r="178" spans="1:24" ht="15" customHeight="1">
      <c r="A178" s="9">
        <v>46054</v>
      </c>
      <c r="B178" s="2" t="s">
        <v>45</v>
      </c>
      <c r="C178" s="2" t="s">
        <v>414</v>
      </c>
      <c r="D178" s="2" t="s">
        <v>437</v>
      </c>
      <c r="E178" s="2" t="s">
        <v>166</v>
      </c>
      <c r="F178" s="2" t="s">
        <v>438</v>
      </c>
      <c r="G178" s="2" t="s">
        <v>193</v>
      </c>
      <c r="H178" s="2" t="s">
        <v>24</v>
      </c>
      <c r="I178" s="6">
        <v>35</v>
      </c>
      <c r="J178" s="6">
        <v>50</v>
      </c>
      <c r="K178" s="6">
        <v>1180</v>
      </c>
      <c r="L178" s="6">
        <v>1230</v>
      </c>
      <c r="M178" s="6">
        <v>0</v>
      </c>
      <c r="N178" s="6">
        <v>50</v>
      </c>
      <c r="O178" s="6">
        <v>50</v>
      </c>
      <c r="P178" s="2" t="s">
        <v>25</v>
      </c>
      <c r="Q178" s="2" t="s">
        <v>32</v>
      </c>
      <c r="R178" s="2" t="s">
        <v>27</v>
      </c>
      <c r="S178" s="5">
        <v>0</v>
      </c>
      <c r="T178" s="1">
        <v>1</v>
      </c>
      <c r="U178" s="2">
        <f t="shared" si="29"/>
        <v>1</v>
      </c>
      <c r="V178" s="1">
        <v>0</v>
      </c>
      <c r="W178" s="2">
        <f t="shared" si="27"/>
        <v>1</v>
      </c>
      <c r="X178" s="8">
        <f t="shared" si="28"/>
        <v>0</v>
      </c>
    </row>
    <row r="179" spans="1:24" ht="15" customHeight="1">
      <c r="A179" s="9">
        <v>46054</v>
      </c>
      <c r="B179" s="2" t="s">
        <v>45</v>
      </c>
      <c r="C179" s="2" t="s">
        <v>414</v>
      </c>
      <c r="D179" s="2" t="s">
        <v>439</v>
      </c>
      <c r="E179" s="2" t="s">
        <v>440</v>
      </c>
      <c r="F179" s="2" t="s">
        <v>441</v>
      </c>
      <c r="G179" s="2" t="s">
        <v>65</v>
      </c>
      <c r="H179" s="2" t="s">
        <v>24</v>
      </c>
      <c r="I179" s="6">
        <v>20</v>
      </c>
      <c r="J179" s="6">
        <v>82786</v>
      </c>
      <c r="K179" s="6">
        <v>501625</v>
      </c>
      <c r="L179" s="6">
        <v>586962</v>
      </c>
      <c r="M179" s="6">
        <v>0</v>
      </c>
      <c r="N179" s="6">
        <v>2551</v>
      </c>
      <c r="O179" s="6">
        <v>0</v>
      </c>
      <c r="P179" s="2" t="s">
        <v>25</v>
      </c>
      <c r="Q179" s="2" t="s">
        <v>32</v>
      </c>
      <c r="R179" s="2" t="s">
        <v>27</v>
      </c>
      <c r="S179" s="5">
        <v>1</v>
      </c>
      <c r="T179" s="1">
        <v>0</v>
      </c>
      <c r="U179" s="2">
        <f t="shared" si="29"/>
        <v>1</v>
      </c>
      <c r="V179" s="1">
        <v>0</v>
      </c>
      <c r="W179" s="2">
        <f t="shared" si="27"/>
        <v>1</v>
      </c>
      <c r="X179" s="8">
        <f t="shared" si="28"/>
        <v>100</v>
      </c>
    </row>
    <row r="180" spans="1:24" ht="15" customHeight="1">
      <c r="A180" s="9">
        <v>46054</v>
      </c>
      <c r="B180" s="2" t="s">
        <v>45</v>
      </c>
      <c r="C180" s="2" t="s">
        <v>414</v>
      </c>
      <c r="D180" s="2" t="s">
        <v>442</v>
      </c>
      <c r="E180" s="2" t="s">
        <v>1402</v>
      </c>
      <c r="F180" s="2" t="s">
        <v>443</v>
      </c>
      <c r="G180" s="2" t="s">
        <v>444</v>
      </c>
      <c r="H180" s="2" t="s">
        <v>24</v>
      </c>
      <c r="I180" s="6">
        <v>37.299999999999997</v>
      </c>
      <c r="J180" s="6">
        <v>70862</v>
      </c>
      <c r="K180" s="6">
        <v>600503</v>
      </c>
      <c r="L180" s="6">
        <v>673372</v>
      </c>
      <c r="M180" s="6">
        <v>0</v>
      </c>
      <c r="N180" s="6">
        <v>2007</v>
      </c>
      <c r="O180" s="6">
        <v>0</v>
      </c>
      <c r="P180" s="2" t="s">
        <v>25</v>
      </c>
      <c r="Q180" s="2" t="s">
        <v>32</v>
      </c>
      <c r="R180" s="2" t="s">
        <v>50</v>
      </c>
      <c r="S180" s="5">
        <v>1</v>
      </c>
      <c r="T180" s="1">
        <v>0</v>
      </c>
      <c r="U180" s="2">
        <f t="shared" si="29"/>
        <v>1</v>
      </c>
      <c r="V180" s="1">
        <v>0</v>
      </c>
      <c r="W180" s="2">
        <f t="shared" si="27"/>
        <v>1</v>
      </c>
      <c r="X180" s="8">
        <f t="shared" si="28"/>
        <v>100</v>
      </c>
    </row>
    <row r="181" spans="1:24" ht="15" customHeight="1">
      <c r="A181" s="9">
        <v>46054</v>
      </c>
      <c r="B181" s="2" t="s">
        <v>45</v>
      </c>
      <c r="C181" s="2" t="s">
        <v>414</v>
      </c>
      <c r="D181" s="2" t="s">
        <v>445</v>
      </c>
      <c r="E181" s="2" t="s">
        <v>1402</v>
      </c>
      <c r="F181" s="2" t="s">
        <v>446</v>
      </c>
      <c r="G181" s="2" t="s">
        <v>447</v>
      </c>
      <c r="H181" s="2" t="s">
        <v>24</v>
      </c>
      <c r="I181" s="6">
        <v>37.299999999999997</v>
      </c>
      <c r="J181" s="6">
        <v>60512</v>
      </c>
      <c r="K181" s="6">
        <v>624762</v>
      </c>
      <c r="L181" s="6">
        <v>687281</v>
      </c>
      <c r="M181" s="6">
        <v>0</v>
      </c>
      <c r="N181" s="6">
        <v>2007</v>
      </c>
      <c r="O181" s="6">
        <v>0</v>
      </c>
      <c r="P181" s="2" t="s">
        <v>25</v>
      </c>
      <c r="Q181" s="2" t="s">
        <v>32</v>
      </c>
      <c r="R181" s="2" t="s">
        <v>50</v>
      </c>
      <c r="S181" s="5">
        <v>1</v>
      </c>
      <c r="T181" s="1">
        <v>0</v>
      </c>
      <c r="U181" s="2">
        <f t="shared" si="29"/>
        <v>1</v>
      </c>
      <c r="V181" s="1">
        <v>0</v>
      </c>
      <c r="W181" s="2">
        <f t="shared" si="27"/>
        <v>1</v>
      </c>
      <c r="X181" s="8">
        <f t="shared" si="28"/>
        <v>100</v>
      </c>
    </row>
    <row r="182" spans="1:24" ht="15" customHeight="1">
      <c r="A182" s="9">
        <v>46054</v>
      </c>
      <c r="B182" s="2" t="s">
        <v>45</v>
      </c>
      <c r="C182" s="2" t="s">
        <v>414</v>
      </c>
      <c r="D182" s="2" t="s">
        <v>448</v>
      </c>
      <c r="E182" s="2" t="s">
        <v>154</v>
      </c>
      <c r="F182" s="2" t="s">
        <v>449</v>
      </c>
      <c r="G182" s="2" t="s">
        <v>65</v>
      </c>
      <c r="H182" s="2" t="s">
        <v>24</v>
      </c>
      <c r="I182" s="6">
        <v>35</v>
      </c>
      <c r="J182" s="6">
        <v>70992</v>
      </c>
      <c r="K182" s="6">
        <v>408667</v>
      </c>
      <c r="L182" s="6">
        <v>482229</v>
      </c>
      <c r="M182" s="6">
        <v>0</v>
      </c>
      <c r="N182" s="6">
        <v>2570</v>
      </c>
      <c r="O182" s="6">
        <v>0</v>
      </c>
      <c r="P182" s="2" t="s">
        <v>25</v>
      </c>
      <c r="Q182" s="2" t="s">
        <v>32</v>
      </c>
      <c r="R182" s="2" t="s">
        <v>27</v>
      </c>
      <c r="S182" s="5">
        <v>1</v>
      </c>
      <c r="T182" s="1">
        <v>0</v>
      </c>
      <c r="U182" s="2">
        <f t="shared" si="29"/>
        <v>1</v>
      </c>
      <c r="V182" s="1">
        <v>0</v>
      </c>
      <c r="W182" s="2">
        <f t="shared" si="27"/>
        <v>1</v>
      </c>
      <c r="X182" s="8">
        <f t="shared" si="28"/>
        <v>100</v>
      </c>
    </row>
    <row r="183" spans="1:24" ht="15" customHeight="1">
      <c r="A183" s="9">
        <v>46054</v>
      </c>
      <c r="B183" s="2" t="s">
        <v>45</v>
      </c>
      <c r="C183" s="2" t="s">
        <v>414</v>
      </c>
      <c r="D183" s="2" t="s">
        <v>450</v>
      </c>
      <c r="E183" s="2" t="s">
        <v>170</v>
      </c>
      <c r="F183" s="2" t="s">
        <v>451</v>
      </c>
      <c r="G183" s="2" t="s">
        <v>23</v>
      </c>
      <c r="H183" s="2" t="s">
        <v>24</v>
      </c>
      <c r="I183" s="6">
        <v>29.84</v>
      </c>
      <c r="J183" s="6">
        <v>1579</v>
      </c>
      <c r="K183" s="6">
        <v>22150</v>
      </c>
      <c r="L183" s="6">
        <v>23729</v>
      </c>
      <c r="M183" s="6">
        <v>0</v>
      </c>
      <c r="N183" s="6">
        <v>0</v>
      </c>
      <c r="O183" s="6">
        <v>0</v>
      </c>
      <c r="P183" s="2" t="s">
        <v>25</v>
      </c>
      <c r="Q183" s="2" t="s">
        <v>32</v>
      </c>
      <c r="R183" s="2" t="s">
        <v>50</v>
      </c>
      <c r="S183" s="5">
        <v>1</v>
      </c>
      <c r="T183" s="1">
        <v>0</v>
      </c>
      <c r="U183" s="2">
        <f t="shared" si="29"/>
        <v>1</v>
      </c>
      <c r="V183" s="1">
        <v>0</v>
      </c>
      <c r="W183" s="2">
        <f t="shared" si="27"/>
        <v>1</v>
      </c>
      <c r="X183" s="8">
        <f t="shared" si="28"/>
        <v>100</v>
      </c>
    </row>
    <row r="184" spans="1:24" ht="15" customHeight="1">
      <c r="A184" s="9">
        <v>46054</v>
      </c>
      <c r="B184" s="2" t="s">
        <v>45</v>
      </c>
      <c r="C184" s="2" t="s">
        <v>414</v>
      </c>
      <c r="D184" s="2" t="s">
        <v>452</v>
      </c>
      <c r="E184" s="2" t="s">
        <v>117</v>
      </c>
      <c r="F184" s="2" t="s">
        <v>453</v>
      </c>
      <c r="G184" s="2" t="s">
        <v>65</v>
      </c>
      <c r="H184" s="2" t="s">
        <v>24</v>
      </c>
      <c r="I184" s="6">
        <v>45</v>
      </c>
      <c r="J184" s="6">
        <v>85014</v>
      </c>
      <c r="K184" s="6">
        <v>391668</v>
      </c>
      <c r="L184" s="6">
        <v>479690</v>
      </c>
      <c r="M184" s="6">
        <v>0</v>
      </c>
      <c r="N184" s="6">
        <v>3008</v>
      </c>
      <c r="O184" s="6">
        <v>0</v>
      </c>
      <c r="P184" s="2" t="s">
        <v>25</v>
      </c>
      <c r="Q184" s="2" t="s">
        <v>32</v>
      </c>
      <c r="R184" s="2" t="s">
        <v>50</v>
      </c>
      <c r="S184" s="5">
        <v>1</v>
      </c>
      <c r="T184" s="1">
        <v>0</v>
      </c>
      <c r="U184" s="2">
        <f t="shared" si="29"/>
        <v>1</v>
      </c>
      <c r="V184" s="1">
        <v>0</v>
      </c>
      <c r="W184" s="2">
        <f t="shared" si="27"/>
        <v>1</v>
      </c>
      <c r="X184" s="8">
        <f t="shared" si="28"/>
        <v>100</v>
      </c>
    </row>
    <row r="185" spans="1:24" ht="15" customHeight="1">
      <c r="A185" s="9">
        <v>46054</v>
      </c>
      <c r="B185" s="2" t="s">
        <v>45</v>
      </c>
      <c r="C185" s="2" t="s">
        <v>414</v>
      </c>
      <c r="D185" s="2" t="s">
        <v>454</v>
      </c>
      <c r="E185" s="2" t="s">
        <v>455</v>
      </c>
      <c r="F185" s="2" t="s">
        <v>456</v>
      </c>
      <c r="G185" s="2" t="s">
        <v>23</v>
      </c>
      <c r="H185" s="2" t="s">
        <v>24</v>
      </c>
      <c r="I185" s="6">
        <v>45</v>
      </c>
      <c r="J185" s="6">
        <v>119669</v>
      </c>
      <c r="K185" s="6">
        <v>669250</v>
      </c>
      <c r="L185" s="6">
        <v>792962</v>
      </c>
      <c r="M185" s="6">
        <v>0</v>
      </c>
      <c r="N185" s="6">
        <v>4043</v>
      </c>
      <c r="O185" s="6">
        <v>0</v>
      </c>
      <c r="P185" s="2" t="s">
        <v>25</v>
      </c>
      <c r="Q185" s="2" t="s">
        <v>32</v>
      </c>
      <c r="R185" s="2" t="s">
        <v>27</v>
      </c>
      <c r="S185" s="5">
        <v>1</v>
      </c>
      <c r="T185" s="1">
        <v>0</v>
      </c>
      <c r="U185" s="2">
        <f t="shared" si="29"/>
        <v>1</v>
      </c>
      <c r="V185" s="1">
        <v>0</v>
      </c>
      <c r="W185" s="2">
        <f t="shared" si="27"/>
        <v>1</v>
      </c>
      <c r="X185" s="8">
        <f t="shared" si="28"/>
        <v>100</v>
      </c>
    </row>
    <row r="186" spans="1:24" ht="15" customHeight="1">
      <c r="A186" s="9">
        <v>46054</v>
      </c>
      <c r="B186" s="2" t="s">
        <v>45</v>
      </c>
      <c r="C186" s="2" t="s">
        <v>414</v>
      </c>
      <c r="D186" s="2" t="s">
        <v>457</v>
      </c>
      <c r="E186" s="2" t="s">
        <v>101</v>
      </c>
      <c r="F186" s="2" t="s">
        <v>458</v>
      </c>
      <c r="G186" s="2" t="s">
        <v>418</v>
      </c>
      <c r="H186" s="2" t="s">
        <v>24</v>
      </c>
      <c r="I186" s="6">
        <v>45</v>
      </c>
      <c r="J186" s="6">
        <v>101297</v>
      </c>
      <c r="K186" s="6">
        <v>457476</v>
      </c>
      <c r="L186" s="6">
        <v>562646</v>
      </c>
      <c r="M186" s="6">
        <v>0</v>
      </c>
      <c r="N186" s="6">
        <v>3873</v>
      </c>
      <c r="O186" s="6">
        <v>0</v>
      </c>
      <c r="P186" s="2" t="s">
        <v>25</v>
      </c>
      <c r="Q186" s="2" t="s">
        <v>32</v>
      </c>
      <c r="R186" s="2" t="s">
        <v>27</v>
      </c>
      <c r="S186" s="5">
        <v>1</v>
      </c>
      <c r="T186" s="1">
        <v>0</v>
      </c>
      <c r="U186" s="2">
        <f t="shared" si="29"/>
        <v>1</v>
      </c>
      <c r="V186" s="1">
        <v>0</v>
      </c>
      <c r="W186" s="2">
        <f t="shared" si="27"/>
        <v>1</v>
      </c>
      <c r="X186" s="8">
        <f t="shared" si="28"/>
        <v>100</v>
      </c>
    </row>
    <row r="187" spans="1:24" ht="15" customHeight="1">
      <c r="A187" s="9">
        <v>46054</v>
      </c>
      <c r="B187" s="2" t="s">
        <v>45</v>
      </c>
      <c r="C187" s="2" t="s">
        <v>414</v>
      </c>
      <c r="D187" s="2" t="s">
        <v>459</v>
      </c>
      <c r="E187" s="2" t="s">
        <v>60</v>
      </c>
      <c r="F187" s="2" t="s">
        <v>460</v>
      </c>
      <c r="G187" s="2" t="s">
        <v>461</v>
      </c>
      <c r="H187" s="2" t="s">
        <v>24</v>
      </c>
      <c r="I187" s="6">
        <v>29.84</v>
      </c>
      <c r="J187" s="6">
        <v>67996</v>
      </c>
      <c r="K187" s="6">
        <v>445067</v>
      </c>
      <c r="L187" s="6">
        <v>515355</v>
      </c>
      <c r="M187" s="6">
        <v>0</v>
      </c>
      <c r="N187" s="6">
        <v>2292</v>
      </c>
      <c r="O187" s="6">
        <v>0</v>
      </c>
      <c r="P187" s="2" t="s">
        <v>25</v>
      </c>
      <c r="Q187" s="2" t="s">
        <v>32</v>
      </c>
      <c r="R187" s="2" t="s">
        <v>50</v>
      </c>
      <c r="S187" s="5">
        <v>1</v>
      </c>
      <c r="T187" s="1">
        <v>0</v>
      </c>
      <c r="U187" s="2">
        <f t="shared" si="29"/>
        <v>1</v>
      </c>
      <c r="V187" s="1">
        <v>0</v>
      </c>
      <c r="W187" s="2">
        <f t="shared" si="27"/>
        <v>1</v>
      </c>
      <c r="X187" s="8">
        <f t="shared" si="28"/>
        <v>100</v>
      </c>
    </row>
    <row r="188" spans="1:24" ht="15" customHeight="1">
      <c r="A188" s="9">
        <v>46054</v>
      </c>
      <c r="B188" s="2" t="s">
        <v>45</v>
      </c>
      <c r="C188" s="2" t="s">
        <v>414</v>
      </c>
      <c r="D188" s="2" t="s">
        <v>462</v>
      </c>
      <c r="E188" s="2" t="s">
        <v>463</v>
      </c>
      <c r="F188" s="2" t="s">
        <v>464</v>
      </c>
      <c r="G188" s="2" t="s">
        <v>465</v>
      </c>
      <c r="H188" s="2" t="s">
        <v>24</v>
      </c>
      <c r="I188" s="6">
        <v>37</v>
      </c>
      <c r="J188" s="6">
        <v>77</v>
      </c>
      <c r="K188" s="6">
        <v>338448</v>
      </c>
      <c r="L188" s="6">
        <v>338525</v>
      </c>
      <c r="M188" s="6">
        <v>0</v>
      </c>
      <c r="N188" s="6">
        <v>0</v>
      </c>
      <c r="O188" s="6">
        <v>0</v>
      </c>
      <c r="P188" s="2" t="s">
        <v>25</v>
      </c>
      <c r="Q188" s="2" t="s">
        <v>32</v>
      </c>
      <c r="R188" s="2" t="s">
        <v>126</v>
      </c>
      <c r="S188" s="5">
        <v>1</v>
      </c>
      <c r="T188" s="1">
        <v>0</v>
      </c>
      <c r="U188" s="2">
        <f t="shared" si="29"/>
        <v>1</v>
      </c>
      <c r="V188" s="1">
        <v>0</v>
      </c>
      <c r="W188" s="2">
        <f t="shared" si="27"/>
        <v>1</v>
      </c>
      <c r="X188" s="8">
        <f t="shared" si="28"/>
        <v>100</v>
      </c>
    </row>
    <row r="189" spans="1:24" ht="15" customHeight="1">
      <c r="A189" s="9">
        <v>46054</v>
      </c>
      <c r="B189" s="2" t="s">
        <v>45</v>
      </c>
      <c r="C189" s="2" t="s">
        <v>414</v>
      </c>
      <c r="D189" s="2" t="s">
        <v>466</v>
      </c>
      <c r="E189" s="2" t="s">
        <v>1402</v>
      </c>
      <c r="F189" s="2" t="s">
        <v>467</v>
      </c>
      <c r="G189" s="2" t="s">
        <v>468</v>
      </c>
      <c r="H189" s="2" t="s">
        <v>24</v>
      </c>
      <c r="I189" s="6">
        <v>29.84</v>
      </c>
      <c r="J189" s="6">
        <v>47287</v>
      </c>
      <c r="K189" s="6">
        <v>245751</v>
      </c>
      <c r="L189" s="6">
        <v>294862</v>
      </c>
      <c r="M189" s="6">
        <v>0</v>
      </c>
      <c r="N189" s="6">
        <v>1824</v>
      </c>
      <c r="O189" s="6">
        <v>0</v>
      </c>
      <c r="P189" s="2" t="s">
        <v>25</v>
      </c>
      <c r="Q189" s="2" t="s">
        <v>32</v>
      </c>
      <c r="R189" s="2" t="s">
        <v>50</v>
      </c>
      <c r="S189" s="5">
        <v>1</v>
      </c>
      <c r="T189" s="1">
        <v>0</v>
      </c>
      <c r="U189" s="2">
        <f t="shared" si="29"/>
        <v>1</v>
      </c>
      <c r="V189" s="1">
        <v>0</v>
      </c>
      <c r="W189" s="2">
        <f t="shared" si="27"/>
        <v>1</v>
      </c>
      <c r="X189" s="8">
        <f t="shared" si="28"/>
        <v>100</v>
      </c>
    </row>
    <row r="190" spans="1:24" ht="15" customHeight="1">
      <c r="A190" s="9">
        <v>46054</v>
      </c>
      <c r="B190" s="2" t="s">
        <v>45</v>
      </c>
      <c r="C190" s="2" t="s">
        <v>414</v>
      </c>
      <c r="D190" s="2" t="s">
        <v>469</v>
      </c>
      <c r="E190" s="2" t="s">
        <v>166</v>
      </c>
      <c r="F190" s="2" t="s">
        <v>470</v>
      </c>
      <c r="G190" s="2" t="s">
        <v>471</v>
      </c>
      <c r="H190" s="2" t="s">
        <v>24</v>
      </c>
      <c r="I190" s="6">
        <v>60</v>
      </c>
      <c r="J190" s="6">
        <v>17937</v>
      </c>
      <c r="K190" s="6">
        <v>358019</v>
      </c>
      <c r="L190" s="6">
        <v>375956</v>
      </c>
      <c r="M190" s="6">
        <v>0</v>
      </c>
      <c r="N190" s="6">
        <v>0</v>
      </c>
      <c r="O190" s="6">
        <v>0</v>
      </c>
      <c r="P190" s="2" t="s">
        <v>25</v>
      </c>
      <c r="Q190" s="2" t="s">
        <v>32</v>
      </c>
      <c r="R190" s="2" t="s">
        <v>27</v>
      </c>
      <c r="S190" s="5">
        <v>1</v>
      </c>
      <c r="T190" s="1">
        <v>0</v>
      </c>
      <c r="U190" s="2">
        <f t="shared" si="29"/>
        <v>1</v>
      </c>
      <c r="V190" s="1">
        <v>0</v>
      </c>
      <c r="W190" s="2">
        <f t="shared" si="27"/>
        <v>1</v>
      </c>
      <c r="X190" s="8">
        <f t="shared" si="28"/>
        <v>100</v>
      </c>
    </row>
    <row r="191" spans="1:24" ht="15" customHeight="1">
      <c r="A191" s="9">
        <v>46054</v>
      </c>
      <c r="B191" s="2" t="s">
        <v>45</v>
      </c>
      <c r="C191" s="2" t="s">
        <v>414</v>
      </c>
      <c r="D191" s="2" t="s">
        <v>472</v>
      </c>
      <c r="E191" s="2" t="s">
        <v>166</v>
      </c>
      <c r="F191" s="2" t="s">
        <v>473</v>
      </c>
      <c r="G191" s="2" t="s">
        <v>65</v>
      </c>
      <c r="H191" s="2" t="s">
        <v>24</v>
      </c>
      <c r="I191" s="6">
        <v>35</v>
      </c>
      <c r="J191" s="6">
        <v>106337</v>
      </c>
      <c r="K191" s="6">
        <v>667016</v>
      </c>
      <c r="L191" s="6">
        <v>777100</v>
      </c>
      <c r="M191" s="6">
        <v>0</v>
      </c>
      <c r="N191" s="6">
        <v>3747</v>
      </c>
      <c r="O191" s="6">
        <v>0</v>
      </c>
      <c r="P191" s="2" t="s">
        <v>25</v>
      </c>
      <c r="Q191" s="2" t="s">
        <v>32</v>
      </c>
      <c r="R191" s="2" t="s">
        <v>27</v>
      </c>
      <c r="S191" s="5">
        <v>1</v>
      </c>
      <c r="T191" s="1">
        <v>0</v>
      </c>
      <c r="U191" s="2">
        <f t="shared" si="29"/>
        <v>1</v>
      </c>
      <c r="V191" s="1">
        <v>0</v>
      </c>
      <c r="W191" s="2">
        <f t="shared" si="27"/>
        <v>1</v>
      </c>
      <c r="X191" s="8">
        <f t="shared" si="28"/>
        <v>100</v>
      </c>
    </row>
    <row r="192" spans="1:24" ht="15" customHeight="1">
      <c r="A192" s="9">
        <v>46054</v>
      </c>
      <c r="B192" s="2" t="s">
        <v>45</v>
      </c>
      <c r="C192" s="2" t="s">
        <v>414</v>
      </c>
      <c r="D192" s="2" t="s">
        <v>474</v>
      </c>
      <c r="E192" s="2" t="s">
        <v>475</v>
      </c>
      <c r="F192" s="2" t="s">
        <v>476</v>
      </c>
      <c r="G192" s="2" t="s">
        <v>65</v>
      </c>
      <c r="H192" s="2" t="s">
        <v>24</v>
      </c>
      <c r="I192" s="6">
        <v>37.299999999999997</v>
      </c>
      <c r="J192" s="6">
        <v>28654</v>
      </c>
      <c r="K192" s="6">
        <v>405322</v>
      </c>
      <c r="L192" s="6">
        <v>434393</v>
      </c>
      <c r="M192" s="6">
        <v>0</v>
      </c>
      <c r="N192" s="6">
        <v>417</v>
      </c>
      <c r="O192" s="6">
        <v>0</v>
      </c>
      <c r="P192" s="2" t="s">
        <v>25</v>
      </c>
      <c r="Q192" s="2" t="s">
        <v>32</v>
      </c>
      <c r="R192" s="2" t="s">
        <v>50</v>
      </c>
      <c r="S192" s="5">
        <v>1</v>
      </c>
      <c r="T192" s="1">
        <v>0</v>
      </c>
      <c r="U192" s="2">
        <f t="shared" si="29"/>
        <v>1</v>
      </c>
      <c r="V192" s="1">
        <v>0</v>
      </c>
      <c r="W192" s="2">
        <f t="shared" si="27"/>
        <v>1</v>
      </c>
      <c r="X192" s="8">
        <f t="shared" si="28"/>
        <v>100</v>
      </c>
    </row>
    <row r="193" spans="1:24" ht="15" customHeight="1">
      <c r="A193" s="9">
        <v>46054</v>
      </c>
      <c r="B193" s="2" t="s">
        <v>45</v>
      </c>
      <c r="C193" s="2" t="s">
        <v>414</v>
      </c>
      <c r="D193" s="2" t="s">
        <v>477</v>
      </c>
      <c r="E193" s="2" t="s">
        <v>117</v>
      </c>
      <c r="F193" s="2" t="s">
        <v>478</v>
      </c>
      <c r="G193" s="2" t="s">
        <v>479</v>
      </c>
      <c r="H193" s="2" t="s">
        <v>24</v>
      </c>
      <c r="I193" s="6">
        <v>29.84</v>
      </c>
      <c r="J193" s="6">
        <v>75100</v>
      </c>
      <c r="K193" s="6">
        <v>556649</v>
      </c>
      <c r="L193" s="6">
        <v>634184</v>
      </c>
      <c r="M193" s="6">
        <v>0</v>
      </c>
      <c r="N193" s="6">
        <v>2435</v>
      </c>
      <c r="O193" s="6">
        <v>0</v>
      </c>
      <c r="P193" s="2" t="s">
        <v>25</v>
      </c>
      <c r="Q193" s="2" t="s">
        <v>32</v>
      </c>
      <c r="R193" s="2" t="s">
        <v>50</v>
      </c>
      <c r="S193" s="5">
        <v>1</v>
      </c>
      <c r="T193" s="1">
        <v>0</v>
      </c>
      <c r="U193" s="2">
        <f t="shared" ref="U193:U211" si="30">T193+S193</f>
        <v>1</v>
      </c>
      <c r="V193" s="1">
        <v>0</v>
      </c>
      <c r="W193" s="2">
        <f t="shared" ref="W193:W208" si="31">V193+U193</f>
        <v>1</v>
      </c>
      <c r="X193" s="8">
        <f t="shared" ref="X193:X208" si="32">100/U193*S193</f>
        <v>100</v>
      </c>
    </row>
    <row r="194" spans="1:24" ht="15" customHeight="1">
      <c r="A194" s="9">
        <v>46054</v>
      </c>
      <c r="B194" s="2" t="s">
        <v>45</v>
      </c>
      <c r="C194" s="2" t="s">
        <v>414</v>
      </c>
      <c r="D194" s="2" t="s">
        <v>480</v>
      </c>
      <c r="E194" s="2" t="s">
        <v>117</v>
      </c>
      <c r="F194" s="2" t="s">
        <v>481</v>
      </c>
      <c r="G194" s="2" t="s">
        <v>428</v>
      </c>
      <c r="H194" s="2" t="s">
        <v>24</v>
      </c>
      <c r="I194" s="6">
        <v>44.76</v>
      </c>
      <c r="J194" s="6">
        <v>76567</v>
      </c>
      <c r="K194" s="6">
        <v>308464</v>
      </c>
      <c r="L194" s="6">
        <v>388137</v>
      </c>
      <c r="M194" s="6">
        <v>0</v>
      </c>
      <c r="N194" s="6">
        <v>3106</v>
      </c>
      <c r="O194" s="6">
        <v>0</v>
      </c>
      <c r="P194" s="2" t="s">
        <v>25</v>
      </c>
      <c r="Q194" s="2" t="s">
        <v>32</v>
      </c>
      <c r="R194" s="2" t="s">
        <v>50</v>
      </c>
      <c r="S194" s="5">
        <v>1</v>
      </c>
      <c r="T194" s="1">
        <v>0</v>
      </c>
      <c r="U194" s="2">
        <f t="shared" si="30"/>
        <v>1</v>
      </c>
      <c r="V194" s="1">
        <v>0</v>
      </c>
      <c r="W194" s="2">
        <f t="shared" si="31"/>
        <v>1</v>
      </c>
      <c r="X194" s="8">
        <f t="shared" si="32"/>
        <v>100</v>
      </c>
    </row>
    <row r="195" spans="1:24" ht="15" customHeight="1">
      <c r="A195" s="9">
        <v>46054</v>
      </c>
      <c r="B195" s="2" t="s">
        <v>45</v>
      </c>
      <c r="C195" s="2" t="s">
        <v>414</v>
      </c>
      <c r="D195" s="2" t="s">
        <v>482</v>
      </c>
      <c r="E195" s="2" t="s">
        <v>475</v>
      </c>
      <c r="F195" s="2" t="s">
        <v>483</v>
      </c>
      <c r="G195" s="2" t="s">
        <v>428</v>
      </c>
      <c r="H195" s="2" t="s">
        <v>24</v>
      </c>
      <c r="I195" s="6">
        <v>37.299999999999997</v>
      </c>
      <c r="J195" s="6">
        <v>9148</v>
      </c>
      <c r="K195" s="6">
        <v>311208</v>
      </c>
      <c r="L195" s="6">
        <v>320356</v>
      </c>
      <c r="M195" s="6">
        <v>0</v>
      </c>
      <c r="N195" s="6">
        <v>0</v>
      </c>
      <c r="O195" s="6">
        <v>0</v>
      </c>
      <c r="P195" s="2" t="s">
        <v>25</v>
      </c>
      <c r="Q195" s="2" t="s">
        <v>32</v>
      </c>
      <c r="R195" s="2" t="s">
        <v>50</v>
      </c>
      <c r="S195" s="5">
        <v>1</v>
      </c>
      <c r="T195" s="1">
        <v>0</v>
      </c>
      <c r="U195" s="2">
        <f t="shared" si="30"/>
        <v>1</v>
      </c>
      <c r="V195" s="1">
        <v>0</v>
      </c>
      <c r="W195" s="2">
        <f t="shared" si="31"/>
        <v>1</v>
      </c>
      <c r="X195" s="8">
        <f t="shared" si="32"/>
        <v>100</v>
      </c>
    </row>
    <row r="196" spans="1:24" ht="15" customHeight="1">
      <c r="A196" s="9">
        <v>46054</v>
      </c>
      <c r="B196" s="2" t="s">
        <v>45</v>
      </c>
      <c r="C196" s="2" t="s">
        <v>414</v>
      </c>
      <c r="D196" s="2" t="s">
        <v>484</v>
      </c>
      <c r="E196" s="2" t="s">
        <v>306</v>
      </c>
      <c r="F196" s="2" t="s">
        <v>485</v>
      </c>
      <c r="G196" s="2" t="s">
        <v>65</v>
      </c>
      <c r="H196" s="2" t="s">
        <v>24</v>
      </c>
      <c r="I196" s="6">
        <v>48.01</v>
      </c>
      <c r="J196" s="6">
        <v>50</v>
      </c>
      <c r="K196" s="6">
        <v>1180</v>
      </c>
      <c r="L196" s="6">
        <v>1230</v>
      </c>
      <c r="M196" s="6">
        <v>0</v>
      </c>
      <c r="N196" s="6">
        <v>50</v>
      </c>
      <c r="O196" s="6">
        <v>50</v>
      </c>
      <c r="P196" s="2" t="s">
        <v>25</v>
      </c>
      <c r="Q196" s="2" t="s">
        <v>32</v>
      </c>
      <c r="R196" s="2" t="s">
        <v>27</v>
      </c>
      <c r="S196" s="5">
        <v>1</v>
      </c>
      <c r="T196" s="1">
        <v>0</v>
      </c>
      <c r="U196" s="2">
        <f t="shared" si="30"/>
        <v>1</v>
      </c>
      <c r="V196" s="1">
        <v>0</v>
      </c>
      <c r="W196" s="2">
        <f t="shared" si="31"/>
        <v>1</v>
      </c>
      <c r="X196" s="8">
        <f t="shared" si="32"/>
        <v>100</v>
      </c>
    </row>
    <row r="197" spans="1:24" ht="15" customHeight="1">
      <c r="A197" s="9">
        <v>46054</v>
      </c>
      <c r="B197" s="2" t="s">
        <v>45</v>
      </c>
      <c r="C197" s="2" t="s">
        <v>414</v>
      </c>
      <c r="D197" s="2" t="s">
        <v>1685</v>
      </c>
      <c r="E197" s="2" t="s">
        <v>60</v>
      </c>
      <c r="F197" s="2" t="s">
        <v>1686</v>
      </c>
      <c r="G197" s="2" t="s">
        <v>461</v>
      </c>
      <c r="H197" s="2" t="s">
        <v>24</v>
      </c>
      <c r="I197" s="6">
        <v>29.84</v>
      </c>
      <c r="J197" s="6">
        <v>15497</v>
      </c>
      <c r="K197" s="6">
        <v>1180</v>
      </c>
      <c r="L197" s="6">
        <v>0</v>
      </c>
      <c r="M197" s="6">
        <v>0</v>
      </c>
      <c r="N197" s="6">
        <v>150</v>
      </c>
      <c r="O197" s="6">
        <v>16827</v>
      </c>
      <c r="P197" s="2" t="s">
        <v>25</v>
      </c>
      <c r="Q197" s="2" t="s">
        <v>32</v>
      </c>
      <c r="R197" s="2" t="s">
        <v>397</v>
      </c>
      <c r="S197" s="5">
        <v>1</v>
      </c>
      <c r="T197" s="1">
        <v>0</v>
      </c>
      <c r="U197" s="2">
        <f t="shared" si="30"/>
        <v>1</v>
      </c>
      <c r="V197" s="1">
        <v>0</v>
      </c>
      <c r="W197" s="2">
        <f t="shared" si="31"/>
        <v>1</v>
      </c>
      <c r="X197" s="8">
        <f t="shared" si="32"/>
        <v>100</v>
      </c>
    </row>
    <row r="198" spans="1:24" ht="15" customHeight="1">
      <c r="A198" s="9">
        <v>46054</v>
      </c>
      <c r="B198" s="2" t="s">
        <v>45</v>
      </c>
      <c r="C198" s="2" t="s">
        <v>414</v>
      </c>
      <c r="D198" s="2" t="s">
        <v>486</v>
      </c>
      <c r="E198" s="2" t="s">
        <v>1402</v>
      </c>
      <c r="F198" s="2" t="s">
        <v>487</v>
      </c>
      <c r="G198" s="2" t="s">
        <v>65</v>
      </c>
      <c r="H198" s="2" t="s">
        <v>24</v>
      </c>
      <c r="I198" s="6">
        <v>29.84</v>
      </c>
      <c r="J198" s="6">
        <v>1091246</v>
      </c>
      <c r="K198" s="6">
        <v>1180</v>
      </c>
      <c r="L198" s="6">
        <v>25000</v>
      </c>
      <c r="M198" s="6">
        <v>0</v>
      </c>
      <c r="N198" s="6">
        <v>150</v>
      </c>
      <c r="O198" s="6">
        <v>1067576</v>
      </c>
      <c r="P198" s="2" t="s">
        <v>25</v>
      </c>
      <c r="Q198" s="2" t="s">
        <v>32</v>
      </c>
      <c r="R198" s="2" t="s">
        <v>50</v>
      </c>
      <c r="S198" s="5">
        <v>1</v>
      </c>
      <c r="T198" s="1">
        <v>0</v>
      </c>
      <c r="U198" s="2">
        <f t="shared" si="30"/>
        <v>1</v>
      </c>
      <c r="V198" s="1">
        <v>0</v>
      </c>
      <c r="W198" s="2">
        <f t="shared" si="31"/>
        <v>1</v>
      </c>
      <c r="X198" s="8">
        <f t="shared" si="32"/>
        <v>100</v>
      </c>
    </row>
    <row r="199" spans="1:24" ht="15" customHeight="1">
      <c r="A199" s="9">
        <v>46054</v>
      </c>
      <c r="B199" s="2" t="s">
        <v>45</v>
      </c>
      <c r="C199" s="2" t="s">
        <v>414</v>
      </c>
      <c r="D199" s="2" t="s">
        <v>488</v>
      </c>
      <c r="E199" s="2" t="s">
        <v>60</v>
      </c>
      <c r="F199" s="2" t="s">
        <v>489</v>
      </c>
      <c r="G199" s="2" t="s">
        <v>490</v>
      </c>
      <c r="H199" s="2" t="s">
        <v>24</v>
      </c>
      <c r="I199" s="6">
        <v>29.84</v>
      </c>
      <c r="J199" s="6">
        <v>27470</v>
      </c>
      <c r="K199" s="6">
        <v>1180</v>
      </c>
      <c r="L199" s="6">
        <v>0</v>
      </c>
      <c r="M199" s="6">
        <v>0</v>
      </c>
      <c r="N199" s="6">
        <v>150</v>
      </c>
      <c r="O199" s="6">
        <v>28800</v>
      </c>
      <c r="P199" s="2" t="s">
        <v>25</v>
      </c>
      <c r="Q199" s="2" t="s">
        <v>32</v>
      </c>
      <c r="R199" s="2" t="s">
        <v>50</v>
      </c>
      <c r="S199" s="5">
        <v>0</v>
      </c>
      <c r="T199" s="1">
        <v>1</v>
      </c>
      <c r="U199" s="2">
        <f t="shared" si="30"/>
        <v>1</v>
      </c>
      <c r="V199" s="1">
        <v>0</v>
      </c>
      <c r="W199" s="2">
        <f t="shared" si="31"/>
        <v>1</v>
      </c>
      <c r="X199" s="8">
        <f t="shared" si="32"/>
        <v>0</v>
      </c>
    </row>
    <row r="200" spans="1:24" ht="15" customHeight="1">
      <c r="A200" s="9">
        <v>46054</v>
      </c>
      <c r="B200" s="2" t="s">
        <v>45</v>
      </c>
      <c r="C200" s="2" t="s">
        <v>414</v>
      </c>
      <c r="D200" s="2" t="s">
        <v>491</v>
      </c>
      <c r="E200" s="2" t="s">
        <v>475</v>
      </c>
      <c r="F200" s="2" t="s">
        <v>492</v>
      </c>
      <c r="G200" s="2" t="s">
        <v>65</v>
      </c>
      <c r="H200" s="2" t="s">
        <v>24</v>
      </c>
      <c r="I200" s="6">
        <v>44.76</v>
      </c>
      <c r="J200" s="6">
        <v>173819</v>
      </c>
      <c r="K200" s="6">
        <v>1180</v>
      </c>
      <c r="L200" s="6">
        <v>0</v>
      </c>
      <c r="M200" s="6">
        <v>0</v>
      </c>
      <c r="N200" s="6">
        <v>150</v>
      </c>
      <c r="O200" s="6">
        <v>175149</v>
      </c>
      <c r="P200" s="2" t="s">
        <v>25</v>
      </c>
      <c r="Q200" s="2" t="s">
        <v>32</v>
      </c>
      <c r="R200" s="2" t="s">
        <v>27</v>
      </c>
      <c r="S200" s="5">
        <v>0</v>
      </c>
      <c r="T200" s="1">
        <v>1</v>
      </c>
      <c r="U200" s="2">
        <f t="shared" si="30"/>
        <v>1</v>
      </c>
      <c r="V200" s="1">
        <v>0</v>
      </c>
      <c r="W200" s="2">
        <f t="shared" si="31"/>
        <v>1</v>
      </c>
      <c r="X200" s="8">
        <f t="shared" si="32"/>
        <v>0</v>
      </c>
    </row>
    <row r="201" spans="1:24" ht="15" customHeight="1">
      <c r="A201" s="9">
        <v>46054</v>
      </c>
      <c r="B201" s="2" t="s">
        <v>45</v>
      </c>
      <c r="C201" s="2" t="s">
        <v>414</v>
      </c>
      <c r="D201" s="2" t="s">
        <v>409</v>
      </c>
      <c r="E201" s="2" t="s">
        <v>1402</v>
      </c>
      <c r="F201" s="2" t="s">
        <v>410</v>
      </c>
      <c r="G201" s="2"/>
      <c r="H201" s="2" t="s">
        <v>24</v>
      </c>
      <c r="I201" s="6">
        <v>29.84</v>
      </c>
      <c r="J201" s="6">
        <v>-2593</v>
      </c>
      <c r="K201" s="6">
        <v>2011</v>
      </c>
      <c r="L201" s="6">
        <v>0</v>
      </c>
      <c r="M201" s="6">
        <v>0</v>
      </c>
      <c r="N201" s="6">
        <v>0</v>
      </c>
      <c r="O201" s="6">
        <v>-582</v>
      </c>
      <c r="P201" s="2" t="s">
        <v>25</v>
      </c>
      <c r="Q201" s="2" t="s">
        <v>32</v>
      </c>
      <c r="R201" s="2" t="s">
        <v>50</v>
      </c>
      <c r="S201" s="5">
        <v>0</v>
      </c>
      <c r="T201" s="1">
        <v>1</v>
      </c>
      <c r="U201" s="2">
        <f t="shared" si="30"/>
        <v>1</v>
      </c>
      <c r="V201" s="1">
        <v>0</v>
      </c>
      <c r="W201" s="2">
        <f t="shared" si="31"/>
        <v>1</v>
      </c>
      <c r="X201" s="8">
        <f t="shared" si="32"/>
        <v>0</v>
      </c>
    </row>
    <row r="202" spans="1:24" ht="15" customHeight="1">
      <c r="A202" s="9">
        <v>46054</v>
      </c>
      <c r="B202" s="2" t="s">
        <v>45</v>
      </c>
      <c r="C202" s="2" t="s">
        <v>414</v>
      </c>
      <c r="D202" s="2" t="s">
        <v>411</v>
      </c>
      <c r="E202" s="2" t="s">
        <v>60</v>
      </c>
      <c r="F202" s="2" t="s">
        <v>412</v>
      </c>
      <c r="G202" s="2" t="s">
        <v>413</v>
      </c>
      <c r="H202" s="2" t="s">
        <v>24</v>
      </c>
      <c r="I202" s="6">
        <v>29.84</v>
      </c>
      <c r="J202" s="6">
        <v>34720</v>
      </c>
      <c r="K202" s="6">
        <v>197249</v>
      </c>
      <c r="L202" s="6">
        <v>233574</v>
      </c>
      <c r="M202" s="6">
        <v>0</v>
      </c>
      <c r="N202" s="6">
        <v>1605</v>
      </c>
      <c r="O202" s="6">
        <v>0</v>
      </c>
      <c r="P202" s="2" t="s">
        <v>25</v>
      </c>
      <c r="Q202" s="2" t="s">
        <v>32</v>
      </c>
      <c r="R202" s="2" t="s">
        <v>50</v>
      </c>
      <c r="S202" s="5">
        <v>0</v>
      </c>
      <c r="T202" s="1">
        <v>1</v>
      </c>
      <c r="U202" s="2">
        <f t="shared" si="30"/>
        <v>1</v>
      </c>
      <c r="V202" s="1">
        <v>0</v>
      </c>
      <c r="W202" s="2">
        <f t="shared" si="31"/>
        <v>1</v>
      </c>
      <c r="X202" s="8">
        <f t="shared" si="32"/>
        <v>0</v>
      </c>
    </row>
    <row r="203" spans="1:24" ht="15" customHeight="1">
      <c r="A203" s="9">
        <v>46054</v>
      </c>
      <c r="B203" s="2" t="s">
        <v>45</v>
      </c>
      <c r="C203" s="2" t="s">
        <v>414</v>
      </c>
      <c r="D203" s="2" t="s">
        <v>493</v>
      </c>
      <c r="E203" s="2" t="s">
        <v>1402</v>
      </c>
      <c r="F203" s="2" t="s">
        <v>489</v>
      </c>
      <c r="G203" s="2" t="s">
        <v>49</v>
      </c>
      <c r="H203" s="2" t="s">
        <v>24</v>
      </c>
      <c r="I203" s="6">
        <v>29.84</v>
      </c>
      <c r="J203" s="6">
        <v>1024932</v>
      </c>
      <c r="K203" s="6">
        <v>81164</v>
      </c>
      <c r="L203" s="6">
        <v>0</v>
      </c>
      <c r="M203" s="6">
        <v>0</v>
      </c>
      <c r="N203" s="6">
        <v>11721</v>
      </c>
      <c r="O203" s="6">
        <v>1117817</v>
      </c>
      <c r="P203" s="2" t="s">
        <v>25</v>
      </c>
      <c r="Q203" s="2" t="s">
        <v>32</v>
      </c>
      <c r="R203" s="2" t="s">
        <v>50</v>
      </c>
      <c r="S203" s="5">
        <v>1</v>
      </c>
      <c r="T203" s="1">
        <v>0</v>
      </c>
      <c r="U203" s="2">
        <f t="shared" si="30"/>
        <v>1</v>
      </c>
      <c r="V203" s="1">
        <v>0</v>
      </c>
      <c r="W203" s="2">
        <f t="shared" si="31"/>
        <v>1</v>
      </c>
      <c r="X203" s="8">
        <f t="shared" si="32"/>
        <v>100</v>
      </c>
    </row>
    <row r="204" spans="1:24" ht="15" customHeight="1">
      <c r="A204" s="9">
        <v>46054</v>
      </c>
      <c r="B204" s="2" t="s">
        <v>45</v>
      </c>
      <c r="C204" s="2" t="s">
        <v>414</v>
      </c>
      <c r="D204" s="2" t="s">
        <v>495</v>
      </c>
      <c r="E204" s="2" t="s">
        <v>1402</v>
      </c>
      <c r="F204" s="2" t="s">
        <v>496</v>
      </c>
      <c r="G204" s="2" t="s">
        <v>65</v>
      </c>
      <c r="H204" s="2" t="s">
        <v>24</v>
      </c>
      <c r="I204" s="6">
        <v>29.84</v>
      </c>
      <c r="J204" s="6">
        <v>4823573</v>
      </c>
      <c r="K204" s="6">
        <v>1180</v>
      </c>
      <c r="L204" s="6">
        <v>0</v>
      </c>
      <c r="M204" s="6">
        <v>0</v>
      </c>
      <c r="N204" s="6">
        <v>150</v>
      </c>
      <c r="O204" s="6">
        <v>4824903</v>
      </c>
      <c r="P204" s="2" t="s">
        <v>25</v>
      </c>
      <c r="Q204" s="2" t="s">
        <v>32</v>
      </c>
      <c r="R204" s="2" t="s">
        <v>50</v>
      </c>
      <c r="S204" s="5">
        <v>1</v>
      </c>
      <c r="T204" s="1">
        <v>0</v>
      </c>
      <c r="U204" s="2">
        <f t="shared" si="30"/>
        <v>1</v>
      </c>
      <c r="V204" s="1">
        <v>0</v>
      </c>
      <c r="W204" s="2">
        <f t="shared" si="31"/>
        <v>1</v>
      </c>
      <c r="X204" s="8">
        <f t="shared" si="32"/>
        <v>100</v>
      </c>
    </row>
    <row r="205" spans="1:24" ht="15" customHeight="1">
      <c r="A205" s="9">
        <v>46054</v>
      </c>
      <c r="B205" s="2" t="s">
        <v>45</v>
      </c>
      <c r="C205" s="2" t="s">
        <v>414</v>
      </c>
      <c r="D205" s="2" t="s">
        <v>497</v>
      </c>
      <c r="E205" s="2" t="s">
        <v>60</v>
      </c>
      <c r="F205" s="2" t="s">
        <v>498</v>
      </c>
      <c r="G205" s="2" t="s">
        <v>490</v>
      </c>
      <c r="H205" s="2" t="s">
        <v>24</v>
      </c>
      <c r="I205" s="6">
        <v>29.84</v>
      </c>
      <c r="J205" s="6">
        <v>50</v>
      </c>
      <c r="K205" s="6">
        <v>1180</v>
      </c>
      <c r="L205" s="6">
        <v>1230</v>
      </c>
      <c r="M205" s="6">
        <v>0</v>
      </c>
      <c r="N205" s="6">
        <v>0</v>
      </c>
      <c r="O205" s="6">
        <v>0</v>
      </c>
      <c r="P205" s="2" t="s">
        <v>25</v>
      </c>
      <c r="Q205" s="2" t="s">
        <v>32</v>
      </c>
      <c r="R205" s="2" t="s">
        <v>50</v>
      </c>
      <c r="S205" s="5">
        <v>1</v>
      </c>
      <c r="T205" s="1">
        <v>0</v>
      </c>
      <c r="U205" s="2">
        <f t="shared" si="30"/>
        <v>1</v>
      </c>
      <c r="V205" s="1">
        <v>0</v>
      </c>
      <c r="W205" s="2">
        <f t="shared" si="31"/>
        <v>1</v>
      </c>
      <c r="X205" s="8">
        <f t="shared" si="32"/>
        <v>100</v>
      </c>
    </row>
    <row r="206" spans="1:24" ht="15" customHeight="1">
      <c r="A206" s="9">
        <v>46054</v>
      </c>
      <c r="B206" s="2" t="s">
        <v>45</v>
      </c>
      <c r="C206" s="2" t="s">
        <v>414</v>
      </c>
      <c r="D206" s="2" t="s">
        <v>499</v>
      </c>
      <c r="E206" s="2" t="s">
        <v>500</v>
      </c>
      <c r="F206" s="2" t="s">
        <v>501</v>
      </c>
      <c r="G206" s="2" t="s">
        <v>65</v>
      </c>
      <c r="H206" s="2" t="s">
        <v>24</v>
      </c>
      <c r="I206" s="6">
        <v>37.299999999999997</v>
      </c>
      <c r="J206" s="6">
        <v>188780</v>
      </c>
      <c r="K206" s="6">
        <v>1180</v>
      </c>
      <c r="L206" s="6">
        <v>0</v>
      </c>
      <c r="M206" s="6">
        <v>0</v>
      </c>
      <c r="N206" s="6">
        <v>150</v>
      </c>
      <c r="O206" s="6">
        <v>190110</v>
      </c>
      <c r="P206" s="2" t="s">
        <v>25</v>
      </c>
      <c r="Q206" s="2" t="s">
        <v>32</v>
      </c>
      <c r="R206" s="2" t="s">
        <v>27</v>
      </c>
      <c r="S206" s="5">
        <v>1</v>
      </c>
      <c r="T206" s="1">
        <v>0</v>
      </c>
      <c r="U206" s="2">
        <f t="shared" si="30"/>
        <v>1</v>
      </c>
      <c r="V206" s="1">
        <v>0</v>
      </c>
      <c r="W206" s="2">
        <f t="shared" si="31"/>
        <v>1</v>
      </c>
      <c r="X206" s="8">
        <f t="shared" si="32"/>
        <v>100</v>
      </c>
    </row>
    <row r="207" spans="1:24" ht="15" customHeight="1">
      <c r="A207" s="9">
        <v>46054</v>
      </c>
      <c r="B207" s="2" t="s">
        <v>45</v>
      </c>
      <c r="C207" s="2" t="s">
        <v>414</v>
      </c>
      <c r="D207" s="2" t="s">
        <v>502</v>
      </c>
      <c r="E207" s="2" t="s">
        <v>494</v>
      </c>
      <c r="F207" s="2" t="s">
        <v>503</v>
      </c>
      <c r="G207" s="2" t="s">
        <v>49</v>
      </c>
      <c r="H207" s="2" t="s">
        <v>24</v>
      </c>
      <c r="I207" s="6">
        <v>29.84</v>
      </c>
      <c r="J207" s="6">
        <v>6427</v>
      </c>
      <c r="K207" s="6">
        <v>134196</v>
      </c>
      <c r="L207" s="6">
        <v>140623</v>
      </c>
      <c r="M207" s="6">
        <v>0</v>
      </c>
      <c r="N207" s="6">
        <v>0</v>
      </c>
      <c r="O207" s="6">
        <v>0</v>
      </c>
      <c r="P207" s="2" t="s">
        <v>25</v>
      </c>
      <c r="Q207" s="2" t="s">
        <v>32</v>
      </c>
      <c r="R207" s="2" t="s">
        <v>50</v>
      </c>
      <c r="S207" s="5">
        <v>1</v>
      </c>
      <c r="T207" s="1">
        <v>0</v>
      </c>
      <c r="U207" s="2">
        <f t="shared" si="30"/>
        <v>1</v>
      </c>
      <c r="V207" s="1">
        <v>0</v>
      </c>
      <c r="W207" s="2">
        <f t="shared" si="31"/>
        <v>1</v>
      </c>
      <c r="X207" s="8">
        <f t="shared" si="32"/>
        <v>100</v>
      </c>
    </row>
    <row r="208" spans="1:24" ht="15" customHeight="1">
      <c r="A208" s="9">
        <v>46054</v>
      </c>
      <c r="B208" s="2" t="s">
        <v>45</v>
      </c>
      <c r="C208" s="2" t="s">
        <v>414</v>
      </c>
      <c r="D208" s="2" t="s">
        <v>504</v>
      </c>
      <c r="E208" s="2" t="s">
        <v>170</v>
      </c>
      <c r="F208" s="2" t="s">
        <v>362</v>
      </c>
      <c r="G208" s="2" t="s">
        <v>65</v>
      </c>
      <c r="H208" s="2" t="s">
        <v>24</v>
      </c>
      <c r="I208" s="6">
        <v>29.84</v>
      </c>
      <c r="J208" s="6">
        <v>5488</v>
      </c>
      <c r="K208" s="6">
        <v>111961</v>
      </c>
      <c r="L208" s="6">
        <v>117449</v>
      </c>
      <c r="M208" s="6">
        <v>0</v>
      </c>
      <c r="N208" s="6">
        <v>0</v>
      </c>
      <c r="O208" s="6">
        <v>0</v>
      </c>
      <c r="P208" s="2" t="s">
        <v>25</v>
      </c>
      <c r="Q208" s="2" t="s">
        <v>32</v>
      </c>
      <c r="R208" s="2" t="s">
        <v>50</v>
      </c>
      <c r="S208" s="5">
        <v>1</v>
      </c>
      <c r="T208" s="1">
        <v>0</v>
      </c>
      <c r="U208" s="2">
        <f t="shared" si="30"/>
        <v>1</v>
      </c>
      <c r="V208" s="1">
        <v>0</v>
      </c>
      <c r="W208" s="2">
        <f t="shared" si="31"/>
        <v>1</v>
      </c>
      <c r="X208" s="8">
        <f t="shared" si="32"/>
        <v>100</v>
      </c>
    </row>
    <row r="209" spans="1:24" ht="15" customHeight="1">
      <c r="A209" s="9">
        <v>46054</v>
      </c>
      <c r="B209" s="2" t="s">
        <v>45</v>
      </c>
      <c r="C209" s="2" t="s">
        <v>414</v>
      </c>
      <c r="D209" s="2" t="s">
        <v>505</v>
      </c>
      <c r="E209" s="2" t="s">
        <v>433</v>
      </c>
      <c r="F209" s="2" t="s">
        <v>506</v>
      </c>
      <c r="G209" s="2" t="s">
        <v>65</v>
      </c>
      <c r="H209" s="2" t="s">
        <v>24</v>
      </c>
      <c r="I209" s="6">
        <v>37.6</v>
      </c>
      <c r="J209" s="6">
        <v>54127</v>
      </c>
      <c r="K209" s="6">
        <v>389464</v>
      </c>
      <c r="L209" s="6">
        <v>445430</v>
      </c>
      <c r="M209" s="6">
        <v>0</v>
      </c>
      <c r="N209" s="6">
        <v>1839</v>
      </c>
      <c r="O209" s="6">
        <v>0</v>
      </c>
      <c r="P209" s="2" t="s">
        <v>25</v>
      </c>
      <c r="Q209" s="2" t="s">
        <v>32</v>
      </c>
      <c r="R209" s="2" t="s">
        <v>27</v>
      </c>
      <c r="S209" s="5">
        <v>1</v>
      </c>
      <c r="T209" s="1">
        <v>0</v>
      </c>
      <c r="U209" s="2">
        <f t="shared" si="30"/>
        <v>1</v>
      </c>
      <c r="V209" s="1">
        <v>0</v>
      </c>
      <c r="W209" s="2">
        <f t="shared" ref="W209:W223" si="33">V209+U209</f>
        <v>1</v>
      </c>
      <c r="X209" s="8">
        <v>100</v>
      </c>
    </row>
    <row r="210" spans="1:24" ht="15" customHeight="1">
      <c r="A210" s="9">
        <v>46054</v>
      </c>
      <c r="B210" s="2" t="s">
        <v>45</v>
      </c>
      <c r="C210" s="2" t="s">
        <v>414</v>
      </c>
      <c r="D210" s="2" t="s">
        <v>507</v>
      </c>
      <c r="E210" s="2" t="s">
        <v>166</v>
      </c>
      <c r="F210" s="2" t="s">
        <v>506</v>
      </c>
      <c r="G210" s="2" t="s">
        <v>23</v>
      </c>
      <c r="H210" s="2" t="s">
        <v>24</v>
      </c>
      <c r="I210" s="6">
        <v>29.84</v>
      </c>
      <c r="J210" s="6">
        <v>50</v>
      </c>
      <c r="K210" s="6">
        <v>1180</v>
      </c>
      <c r="L210" s="6">
        <v>1230</v>
      </c>
      <c r="M210" s="6">
        <v>0</v>
      </c>
      <c r="N210" s="6">
        <v>0</v>
      </c>
      <c r="O210" s="6">
        <v>0</v>
      </c>
      <c r="P210" s="2" t="s">
        <v>25</v>
      </c>
      <c r="Q210" s="2" t="s">
        <v>32</v>
      </c>
      <c r="R210" s="2" t="s">
        <v>27</v>
      </c>
      <c r="S210" s="5">
        <v>0</v>
      </c>
      <c r="T210" s="1">
        <v>1</v>
      </c>
      <c r="U210" s="2">
        <f t="shared" si="30"/>
        <v>1</v>
      </c>
      <c r="V210" s="1">
        <v>0</v>
      </c>
      <c r="W210" s="2">
        <f t="shared" si="33"/>
        <v>1</v>
      </c>
      <c r="X210" s="8">
        <f t="shared" ref="X210" si="34">100/U210*S210</f>
        <v>0</v>
      </c>
    </row>
    <row r="211" spans="1:24" ht="15" customHeight="1">
      <c r="A211" s="9">
        <v>46054</v>
      </c>
      <c r="B211" s="2" t="s">
        <v>45</v>
      </c>
      <c r="C211" s="2" t="s">
        <v>414</v>
      </c>
      <c r="D211" s="2" t="s">
        <v>508</v>
      </c>
      <c r="E211" s="2" t="s">
        <v>60</v>
      </c>
      <c r="F211" s="2" t="s">
        <v>509</v>
      </c>
      <c r="G211" s="2" t="s">
        <v>510</v>
      </c>
      <c r="H211" s="2" t="s">
        <v>24</v>
      </c>
      <c r="I211" s="6">
        <v>29.84</v>
      </c>
      <c r="J211" s="6">
        <v>39067</v>
      </c>
      <c r="K211" s="6">
        <v>680081</v>
      </c>
      <c r="L211" s="6">
        <v>720990</v>
      </c>
      <c r="M211" s="6">
        <v>0</v>
      </c>
      <c r="N211" s="6">
        <v>1842</v>
      </c>
      <c r="O211" s="6">
        <v>0</v>
      </c>
      <c r="P211" s="2" t="s">
        <v>25</v>
      </c>
      <c r="Q211" s="2" t="s">
        <v>32</v>
      </c>
      <c r="R211" s="2" t="s">
        <v>50</v>
      </c>
      <c r="S211" s="5">
        <v>1</v>
      </c>
      <c r="T211" s="1">
        <v>0</v>
      </c>
      <c r="U211" s="2">
        <f t="shared" si="30"/>
        <v>1</v>
      </c>
      <c r="V211" s="1">
        <v>0</v>
      </c>
      <c r="W211" s="2">
        <f t="shared" si="33"/>
        <v>1</v>
      </c>
      <c r="X211" s="8">
        <v>0</v>
      </c>
    </row>
    <row r="212" spans="1:24" ht="15" customHeight="1">
      <c r="A212" s="9">
        <v>46054</v>
      </c>
      <c r="B212" s="2" t="s">
        <v>45</v>
      </c>
      <c r="C212" s="2" t="s">
        <v>414</v>
      </c>
      <c r="D212" s="2" t="s">
        <v>511</v>
      </c>
      <c r="E212" s="2" t="s">
        <v>334</v>
      </c>
      <c r="F212" s="2" t="s">
        <v>512</v>
      </c>
      <c r="G212" s="2" t="s">
        <v>65</v>
      </c>
      <c r="H212" s="2" t="s">
        <v>24</v>
      </c>
      <c r="I212" s="6">
        <v>40</v>
      </c>
      <c r="J212" s="6">
        <v>15632</v>
      </c>
      <c r="K212" s="6">
        <v>430444</v>
      </c>
      <c r="L212" s="6">
        <v>446076</v>
      </c>
      <c r="M212" s="6">
        <v>0</v>
      </c>
      <c r="N212" s="6">
        <v>0</v>
      </c>
      <c r="O212" s="6">
        <v>0</v>
      </c>
      <c r="P212" s="2" t="s">
        <v>25</v>
      </c>
      <c r="Q212" s="2" t="s">
        <v>32</v>
      </c>
      <c r="R212" s="2" t="s">
        <v>27</v>
      </c>
      <c r="S212" s="5">
        <v>1</v>
      </c>
      <c r="T212" s="1">
        <v>0</v>
      </c>
      <c r="U212" s="2">
        <f>T212+S212</f>
        <v>1</v>
      </c>
      <c r="V212" s="1">
        <v>0</v>
      </c>
      <c r="W212" s="2">
        <f t="shared" si="33"/>
        <v>1</v>
      </c>
      <c r="X212" s="8">
        <f t="shared" ref="X212:X223" si="35">100/U212*S212</f>
        <v>100</v>
      </c>
    </row>
    <row r="213" spans="1:24" ht="15" customHeight="1">
      <c r="A213" s="9">
        <v>46054</v>
      </c>
      <c r="B213" s="2" t="s">
        <v>45</v>
      </c>
      <c r="C213" s="2" t="s">
        <v>414</v>
      </c>
      <c r="D213" s="2" t="s">
        <v>513</v>
      </c>
      <c r="E213" s="2" t="s">
        <v>60</v>
      </c>
      <c r="F213" s="2" t="s">
        <v>514</v>
      </c>
      <c r="G213" s="2" t="s">
        <v>413</v>
      </c>
      <c r="H213" s="2" t="s">
        <v>24</v>
      </c>
      <c r="I213" s="6">
        <v>29.84</v>
      </c>
      <c r="J213" s="6">
        <v>51900</v>
      </c>
      <c r="K213" s="6">
        <v>1180</v>
      </c>
      <c r="L213" s="6">
        <v>0</v>
      </c>
      <c r="M213" s="6">
        <v>0</v>
      </c>
      <c r="N213" s="6">
        <v>150</v>
      </c>
      <c r="O213" s="6">
        <v>53230</v>
      </c>
      <c r="P213" s="2" t="s">
        <v>25</v>
      </c>
      <c r="Q213" s="2" t="s">
        <v>32</v>
      </c>
      <c r="R213" s="2" t="s">
        <v>50</v>
      </c>
      <c r="S213" s="5">
        <v>1</v>
      </c>
      <c r="T213" s="1">
        <v>0</v>
      </c>
      <c r="U213" s="2">
        <f>T213+S213</f>
        <v>1</v>
      </c>
      <c r="V213" s="1">
        <v>0</v>
      </c>
      <c r="W213" s="2">
        <f t="shared" si="33"/>
        <v>1</v>
      </c>
      <c r="X213" s="8">
        <f t="shared" si="35"/>
        <v>100</v>
      </c>
    </row>
    <row r="214" spans="1:24" ht="15" customHeight="1">
      <c r="A214" s="9">
        <v>46054</v>
      </c>
      <c r="B214" s="2" t="s">
        <v>45</v>
      </c>
      <c r="C214" s="2" t="s">
        <v>414</v>
      </c>
      <c r="D214" s="2" t="s">
        <v>1687</v>
      </c>
      <c r="E214" s="2" t="s">
        <v>60</v>
      </c>
      <c r="F214" s="2" t="s">
        <v>1688</v>
      </c>
      <c r="G214" s="2" t="s">
        <v>1689</v>
      </c>
      <c r="H214" s="2" t="s">
        <v>24</v>
      </c>
      <c r="I214" s="6">
        <v>29.84</v>
      </c>
      <c r="J214" s="6">
        <v>946394</v>
      </c>
      <c r="K214" s="6">
        <v>1180</v>
      </c>
      <c r="L214" s="6">
        <v>350000</v>
      </c>
      <c r="M214" s="6">
        <v>0</v>
      </c>
      <c r="N214" s="6">
        <v>100</v>
      </c>
      <c r="O214" s="6">
        <v>597674</v>
      </c>
      <c r="P214" s="2" t="s">
        <v>25</v>
      </c>
      <c r="Q214" s="2" t="s">
        <v>32</v>
      </c>
      <c r="R214" s="2" t="s">
        <v>397</v>
      </c>
      <c r="S214" s="5">
        <v>1</v>
      </c>
      <c r="T214" s="1">
        <v>0</v>
      </c>
      <c r="U214" s="2">
        <f t="shared" ref="U214" si="36">T214+S214</f>
        <v>1</v>
      </c>
      <c r="V214" s="1">
        <v>0</v>
      </c>
      <c r="W214" s="2">
        <f t="shared" si="33"/>
        <v>1</v>
      </c>
      <c r="X214" s="8">
        <f t="shared" si="35"/>
        <v>100</v>
      </c>
    </row>
    <row r="215" spans="1:24" ht="15" customHeight="1">
      <c r="A215" s="9">
        <v>46054</v>
      </c>
      <c r="B215" s="2" t="s">
        <v>95</v>
      </c>
      <c r="C215" s="2" t="s">
        <v>414</v>
      </c>
      <c r="D215" s="2" t="s">
        <v>515</v>
      </c>
      <c r="E215" s="2" t="s">
        <v>420</v>
      </c>
      <c r="F215" s="2" t="s">
        <v>421</v>
      </c>
      <c r="G215" s="2" t="s">
        <v>65</v>
      </c>
      <c r="H215" s="2" t="s">
        <v>24</v>
      </c>
      <c r="I215" s="6">
        <v>14.92</v>
      </c>
      <c r="J215" s="6">
        <v>499</v>
      </c>
      <c r="K215" s="6">
        <v>28624</v>
      </c>
      <c r="L215" s="6">
        <v>29123</v>
      </c>
      <c r="M215" s="6">
        <v>0</v>
      </c>
      <c r="N215" s="6">
        <v>0</v>
      </c>
      <c r="O215" s="6">
        <v>0</v>
      </c>
      <c r="P215" s="2" t="s">
        <v>25</v>
      </c>
      <c r="Q215" s="2" t="s">
        <v>32</v>
      </c>
      <c r="R215" s="2" t="s">
        <v>27</v>
      </c>
      <c r="S215" s="5">
        <v>1</v>
      </c>
      <c r="T215" s="1">
        <v>0</v>
      </c>
      <c r="U215" s="2">
        <f t="shared" ref="U215" si="37">T215+S215</f>
        <v>1</v>
      </c>
      <c r="V215" s="1">
        <v>0</v>
      </c>
      <c r="W215" s="2">
        <f t="shared" si="33"/>
        <v>1</v>
      </c>
      <c r="X215" s="8">
        <f t="shared" si="35"/>
        <v>100</v>
      </c>
    </row>
    <row r="216" spans="1:24" ht="15" customHeight="1">
      <c r="A216" s="9">
        <v>46054</v>
      </c>
      <c r="B216" s="2" t="s">
        <v>45</v>
      </c>
      <c r="C216" s="2" t="s">
        <v>516</v>
      </c>
      <c r="D216" s="2" t="s">
        <v>517</v>
      </c>
      <c r="E216" s="2" t="s">
        <v>518</v>
      </c>
      <c r="F216" s="2" t="s">
        <v>519</v>
      </c>
      <c r="G216" s="2" t="s">
        <v>23</v>
      </c>
      <c r="H216" s="2" t="s">
        <v>24</v>
      </c>
      <c r="I216" s="6">
        <v>29.8</v>
      </c>
      <c r="J216" s="6">
        <v>59500</v>
      </c>
      <c r="K216" s="6">
        <v>569546</v>
      </c>
      <c r="L216" s="6">
        <v>631181</v>
      </c>
      <c r="M216" s="6">
        <v>0</v>
      </c>
      <c r="N216" s="6">
        <v>2135</v>
      </c>
      <c r="O216" s="6">
        <v>0</v>
      </c>
      <c r="P216" s="2" t="s">
        <v>25</v>
      </c>
      <c r="Q216" s="2" t="s">
        <v>32</v>
      </c>
      <c r="R216" s="2" t="s">
        <v>27</v>
      </c>
      <c r="S216" s="5">
        <v>1</v>
      </c>
      <c r="T216" s="1">
        <v>0</v>
      </c>
      <c r="U216" s="2">
        <f>T216+S216</f>
        <v>1</v>
      </c>
      <c r="V216" s="1">
        <v>0</v>
      </c>
      <c r="W216" s="2">
        <f t="shared" si="33"/>
        <v>1</v>
      </c>
      <c r="X216" s="8">
        <f t="shared" si="35"/>
        <v>100</v>
      </c>
    </row>
    <row r="217" spans="1:24" ht="15" customHeight="1">
      <c r="A217" s="9">
        <v>46054</v>
      </c>
      <c r="B217" s="2" t="s">
        <v>45</v>
      </c>
      <c r="C217" s="2" t="s">
        <v>516</v>
      </c>
      <c r="D217" s="2" t="s">
        <v>520</v>
      </c>
      <c r="E217" s="2" t="s">
        <v>518</v>
      </c>
      <c r="F217" s="2" t="s">
        <v>521</v>
      </c>
      <c r="G217" s="2" t="s">
        <v>23</v>
      </c>
      <c r="H217" s="2" t="s">
        <v>24</v>
      </c>
      <c r="I217" s="6">
        <v>29.8</v>
      </c>
      <c r="J217" s="6">
        <v>10379</v>
      </c>
      <c r="K217" s="6">
        <v>245499</v>
      </c>
      <c r="L217" s="6">
        <v>255878</v>
      </c>
      <c r="M217" s="6">
        <v>0</v>
      </c>
      <c r="N217" s="6">
        <v>0</v>
      </c>
      <c r="O217" s="6">
        <v>0</v>
      </c>
      <c r="P217" s="2" t="s">
        <v>25</v>
      </c>
      <c r="Q217" s="2" t="s">
        <v>32</v>
      </c>
      <c r="R217" s="2" t="s">
        <v>27</v>
      </c>
      <c r="S217" s="5">
        <v>1</v>
      </c>
      <c r="T217" s="1">
        <v>0</v>
      </c>
      <c r="U217" s="2">
        <f t="shared" ref="U217:U218" si="38">T217+S217</f>
        <v>1</v>
      </c>
      <c r="V217" s="1">
        <v>0</v>
      </c>
      <c r="W217" s="2">
        <f t="shared" si="33"/>
        <v>1</v>
      </c>
      <c r="X217" s="8">
        <f t="shared" si="35"/>
        <v>100</v>
      </c>
    </row>
    <row r="218" spans="1:24" ht="15" customHeight="1">
      <c r="A218" s="9">
        <v>46054</v>
      </c>
      <c r="B218" s="2" t="s">
        <v>45</v>
      </c>
      <c r="C218" s="2" t="s">
        <v>516</v>
      </c>
      <c r="D218" s="2" t="s">
        <v>523</v>
      </c>
      <c r="E218" s="2" t="s">
        <v>117</v>
      </c>
      <c r="F218" s="2" t="s">
        <v>524</v>
      </c>
      <c r="G218" s="2" t="s">
        <v>525</v>
      </c>
      <c r="H218" s="2" t="s">
        <v>24</v>
      </c>
      <c r="I218" s="6">
        <v>60</v>
      </c>
      <c r="J218" s="6">
        <v>98730</v>
      </c>
      <c r="K218" s="6">
        <v>958871</v>
      </c>
      <c r="L218" s="6">
        <v>1060863</v>
      </c>
      <c r="M218" s="6">
        <v>0</v>
      </c>
      <c r="N218" s="6">
        <v>3262</v>
      </c>
      <c r="O218" s="6">
        <v>0</v>
      </c>
      <c r="P218" s="2" t="s">
        <v>25</v>
      </c>
      <c r="Q218" s="2" t="s">
        <v>32</v>
      </c>
      <c r="R218" s="2" t="s">
        <v>522</v>
      </c>
      <c r="S218" s="5">
        <v>1</v>
      </c>
      <c r="T218" s="1">
        <v>0</v>
      </c>
      <c r="U218" s="2">
        <f t="shared" si="38"/>
        <v>1</v>
      </c>
      <c r="V218" s="1">
        <v>0</v>
      </c>
      <c r="W218" s="2">
        <f t="shared" si="33"/>
        <v>1</v>
      </c>
      <c r="X218" s="8">
        <f t="shared" si="35"/>
        <v>100</v>
      </c>
    </row>
    <row r="219" spans="1:24" ht="15" customHeight="1">
      <c r="A219" s="9">
        <v>46054</v>
      </c>
      <c r="B219" s="2" t="s">
        <v>45</v>
      </c>
      <c r="C219" s="2" t="s">
        <v>516</v>
      </c>
      <c r="D219" s="2" t="s">
        <v>526</v>
      </c>
      <c r="E219" s="2" t="s">
        <v>518</v>
      </c>
      <c r="F219" s="2" t="s">
        <v>527</v>
      </c>
      <c r="G219" s="2" t="s">
        <v>23</v>
      </c>
      <c r="H219" s="2" t="s">
        <v>24</v>
      </c>
      <c r="I219" s="6">
        <v>29.8</v>
      </c>
      <c r="J219" s="6">
        <v>32232</v>
      </c>
      <c r="K219" s="6">
        <v>772932</v>
      </c>
      <c r="L219" s="6">
        <v>805164</v>
      </c>
      <c r="M219" s="6">
        <v>0</v>
      </c>
      <c r="N219" s="6">
        <v>0</v>
      </c>
      <c r="O219" s="6">
        <v>0</v>
      </c>
      <c r="P219" s="2" t="s">
        <v>25</v>
      </c>
      <c r="Q219" s="2" t="s">
        <v>32</v>
      </c>
      <c r="R219" s="2" t="s">
        <v>27</v>
      </c>
      <c r="S219" s="5">
        <v>1</v>
      </c>
      <c r="T219" s="1">
        <v>0</v>
      </c>
      <c r="U219" s="2">
        <f>T219+S219</f>
        <v>1</v>
      </c>
      <c r="V219" s="1">
        <v>0</v>
      </c>
      <c r="W219" s="2">
        <f t="shared" si="33"/>
        <v>1</v>
      </c>
      <c r="X219" s="8">
        <f t="shared" si="35"/>
        <v>100</v>
      </c>
    </row>
    <row r="220" spans="1:24" ht="15" customHeight="1">
      <c r="A220" s="9">
        <v>46054</v>
      </c>
      <c r="B220" s="2" t="s">
        <v>45</v>
      </c>
      <c r="C220" s="2" t="s">
        <v>516</v>
      </c>
      <c r="D220" s="2" t="s">
        <v>1429</v>
      </c>
      <c r="E220" s="2" t="s">
        <v>60</v>
      </c>
      <c r="F220" s="2" t="s">
        <v>1430</v>
      </c>
      <c r="G220" s="2" t="s">
        <v>1431</v>
      </c>
      <c r="H220" s="2" t="s">
        <v>24</v>
      </c>
      <c r="I220" s="6">
        <v>29.84</v>
      </c>
      <c r="J220" s="6">
        <v>65132</v>
      </c>
      <c r="K220" s="6">
        <v>499538</v>
      </c>
      <c r="L220" s="6">
        <v>566926</v>
      </c>
      <c r="M220" s="6">
        <v>0</v>
      </c>
      <c r="N220" s="6">
        <v>2256</v>
      </c>
      <c r="O220" s="6">
        <v>0</v>
      </c>
      <c r="P220" s="2" t="s">
        <v>25</v>
      </c>
      <c r="Q220" s="2" t="s">
        <v>32</v>
      </c>
      <c r="R220" s="2" t="s">
        <v>50</v>
      </c>
      <c r="S220" s="5">
        <v>1</v>
      </c>
      <c r="T220" s="1">
        <v>0</v>
      </c>
      <c r="U220" s="2">
        <f>T220+S220</f>
        <v>1</v>
      </c>
      <c r="V220" s="1">
        <v>0</v>
      </c>
      <c r="W220" s="2">
        <f t="shared" si="33"/>
        <v>1</v>
      </c>
      <c r="X220" s="8">
        <f t="shared" si="35"/>
        <v>100</v>
      </c>
    </row>
    <row r="221" spans="1:24" ht="15" customHeight="1">
      <c r="A221" s="9">
        <v>46054</v>
      </c>
      <c r="B221" s="2" t="s">
        <v>45</v>
      </c>
      <c r="C221" s="2" t="s">
        <v>516</v>
      </c>
      <c r="D221" s="2" t="s">
        <v>1432</v>
      </c>
      <c r="E221" s="2" t="s">
        <v>35</v>
      </c>
      <c r="F221" s="2" t="s">
        <v>529</v>
      </c>
      <c r="G221" s="2" t="s">
        <v>530</v>
      </c>
      <c r="H221" s="2" t="s">
        <v>531</v>
      </c>
      <c r="I221" s="6">
        <v>57</v>
      </c>
      <c r="J221" s="6">
        <v>0</v>
      </c>
      <c r="K221" s="6">
        <v>0</v>
      </c>
      <c r="L221" s="6">
        <v>0</v>
      </c>
      <c r="M221" s="6">
        <v>0</v>
      </c>
      <c r="N221" s="6">
        <v>0</v>
      </c>
      <c r="O221" s="6">
        <v>0</v>
      </c>
      <c r="P221" s="2" t="s">
        <v>31</v>
      </c>
      <c r="Q221" s="2" t="s">
        <v>26</v>
      </c>
      <c r="R221" s="2" t="s">
        <v>532</v>
      </c>
      <c r="S221" s="5">
        <v>0</v>
      </c>
      <c r="T221" s="1">
        <v>0</v>
      </c>
      <c r="U221" s="2">
        <f t="shared" ref="U221:U223" si="39">T221+S221</f>
        <v>0</v>
      </c>
      <c r="V221" s="1">
        <v>1</v>
      </c>
      <c r="W221" s="2">
        <f t="shared" si="33"/>
        <v>1</v>
      </c>
      <c r="X221" s="8" t="e">
        <f t="shared" si="35"/>
        <v>#DIV/0!</v>
      </c>
    </row>
    <row r="222" spans="1:24" ht="15" customHeight="1">
      <c r="A222" s="9">
        <v>46054</v>
      </c>
      <c r="B222" s="2" t="s">
        <v>45</v>
      </c>
      <c r="C222" s="2" t="s">
        <v>516</v>
      </c>
      <c r="D222" s="2" t="s">
        <v>1433</v>
      </c>
      <c r="E222" s="2" t="s">
        <v>533</v>
      </c>
      <c r="F222" s="2" t="s">
        <v>534</v>
      </c>
      <c r="G222" s="2" t="s">
        <v>193</v>
      </c>
      <c r="H222" s="2" t="s">
        <v>24</v>
      </c>
      <c r="I222" s="6">
        <v>59.98</v>
      </c>
      <c r="J222" s="6">
        <v>0</v>
      </c>
      <c r="K222" s="6">
        <v>0</v>
      </c>
      <c r="L222" s="6">
        <v>0</v>
      </c>
      <c r="M222" s="6">
        <v>0</v>
      </c>
      <c r="N222" s="6">
        <v>0</v>
      </c>
      <c r="O222" s="6">
        <v>0</v>
      </c>
      <c r="P222" s="2" t="s">
        <v>25</v>
      </c>
      <c r="Q222" s="2" t="s">
        <v>26</v>
      </c>
      <c r="R222" s="2" t="s">
        <v>27</v>
      </c>
      <c r="S222" s="5">
        <v>0</v>
      </c>
      <c r="T222" s="1">
        <v>0</v>
      </c>
      <c r="U222" s="2">
        <f t="shared" si="39"/>
        <v>0</v>
      </c>
      <c r="V222" s="1">
        <v>1</v>
      </c>
      <c r="W222" s="2">
        <f t="shared" si="33"/>
        <v>1</v>
      </c>
      <c r="X222" s="8" t="e">
        <f t="shared" si="35"/>
        <v>#DIV/0!</v>
      </c>
    </row>
    <row r="223" spans="1:24" ht="15" customHeight="1">
      <c r="A223" s="9">
        <v>46054</v>
      </c>
      <c r="B223" s="2" t="s">
        <v>45</v>
      </c>
      <c r="C223" s="2" t="s">
        <v>516</v>
      </c>
      <c r="D223" s="2" t="s">
        <v>535</v>
      </c>
      <c r="E223" s="2" t="s">
        <v>533</v>
      </c>
      <c r="F223" s="2" t="s">
        <v>534</v>
      </c>
      <c r="G223" s="2" t="s">
        <v>193</v>
      </c>
      <c r="H223" s="2" t="s">
        <v>24</v>
      </c>
      <c r="I223" s="6">
        <v>59.98</v>
      </c>
      <c r="J223" s="6">
        <v>0</v>
      </c>
      <c r="K223" s="6">
        <v>0</v>
      </c>
      <c r="L223" s="6">
        <v>0</v>
      </c>
      <c r="M223" s="6">
        <v>0</v>
      </c>
      <c r="N223" s="6">
        <v>0</v>
      </c>
      <c r="O223" s="6">
        <v>0</v>
      </c>
      <c r="P223" s="2" t="s">
        <v>25</v>
      </c>
      <c r="Q223" s="2" t="s">
        <v>26</v>
      </c>
      <c r="R223" s="2" t="s">
        <v>27</v>
      </c>
      <c r="S223" s="5">
        <v>0</v>
      </c>
      <c r="T223" s="1">
        <v>0</v>
      </c>
      <c r="U223" s="2">
        <f t="shared" si="39"/>
        <v>0</v>
      </c>
      <c r="V223" s="1">
        <v>1</v>
      </c>
      <c r="W223" s="2">
        <f t="shared" si="33"/>
        <v>1</v>
      </c>
      <c r="X223" s="8" t="e">
        <f t="shared" si="35"/>
        <v>#DIV/0!</v>
      </c>
    </row>
    <row r="224" spans="1:24" ht="15" customHeight="1">
      <c r="A224" s="9">
        <v>46054</v>
      </c>
      <c r="B224" s="2" t="s">
        <v>45</v>
      </c>
      <c r="C224" s="2" t="s">
        <v>516</v>
      </c>
      <c r="D224" s="2" t="s">
        <v>536</v>
      </c>
      <c r="E224" s="2" t="s">
        <v>537</v>
      </c>
      <c r="F224" s="2" t="s">
        <v>538</v>
      </c>
      <c r="G224" s="2" t="s">
        <v>539</v>
      </c>
      <c r="H224" s="2" t="s">
        <v>24</v>
      </c>
      <c r="I224" s="6">
        <v>29.8</v>
      </c>
      <c r="J224" s="6">
        <v>93251</v>
      </c>
      <c r="K224" s="6">
        <v>911980</v>
      </c>
      <c r="L224" s="6">
        <v>1008412</v>
      </c>
      <c r="M224" s="6">
        <v>0</v>
      </c>
      <c r="N224" s="6">
        <v>3181</v>
      </c>
      <c r="O224" s="6">
        <v>0</v>
      </c>
      <c r="P224" s="2" t="s">
        <v>25</v>
      </c>
      <c r="Q224" s="2" t="s">
        <v>32</v>
      </c>
      <c r="R224" s="2" t="s">
        <v>27</v>
      </c>
      <c r="S224" s="5">
        <v>1</v>
      </c>
      <c r="T224" s="1">
        <v>0</v>
      </c>
      <c r="U224" s="2">
        <f>T224+S224</f>
        <v>1</v>
      </c>
      <c r="V224" s="1">
        <v>0</v>
      </c>
      <c r="W224" s="2">
        <f>V224+U224</f>
        <v>1</v>
      </c>
      <c r="X224" s="8">
        <v>100</v>
      </c>
    </row>
    <row r="225" spans="1:24" ht="15" customHeight="1">
      <c r="A225" s="9">
        <v>46054</v>
      </c>
      <c r="B225" s="2" t="s">
        <v>45</v>
      </c>
      <c r="C225" s="2" t="s">
        <v>516</v>
      </c>
      <c r="D225" s="2" t="s">
        <v>56</v>
      </c>
      <c r="E225" s="2" t="s">
        <v>117</v>
      </c>
      <c r="F225" s="2" t="s">
        <v>540</v>
      </c>
      <c r="G225" s="2" t="s">
        <v>65</v>
      </c>
      <c r="H225" s="2" t="s">
        <v>24</v>
      </c>
      <c r="I225" s="6">
        <v>52.72</v>
      </c>
      <c r="J225" s="6">
        <v>50</v>
      </c>
      <c r="K225" s="6">
        <v>1180</v>
      </c>
      <c r="L225" s="6">
        <v>1230</v>
      </c>
      <c r="M225" s="6">
        <v>0</v>
      </c>
      <c r="N225" s="6">
        <v>50</v>
      </c>
      <c r="O225" s="6">
        <v>50</v>
      </c>
      <c r="P225" s="2" t="s">
        <v>25</v>
      </c>
      <c r="Q225" s="2" t="s">
        <v>32</v>
      </c>
      <c r="R225" s="2" t="s">
        <v>27</v>
      </c>
      <c r="S225" s="5">
        <v>1</v>
      </c>
      <c r="T225" s="1">
        <v>0</v>
      </c>
      <c r="U225" s="2">
        <f t="shared" ref="U225:U226" si="40">T225+S225</f>
        <v>1</v>
      </c>
      <c r="V225" s="1">
        <v>0</v>
      </c>
      <c r="W225" s="2">
        <f t="shared" ref="W225:W226" si="41">V225+U225</f>
        <v>1</v>
      </c>
      <c r="X225" s="8">
        <f t="shared" ref="X225:X226" si="42">100/U225*S225</f>
        <v>100</v>
      </c>
    </row>
    <row r="226" spans="1:24" ht="15" customHeight="1">
      <c r="A226" s="9">
        <v>46054</v>
      </c>
      <c r="B226" s="2" t="s">
        <v>45</v>
      </c>
      <c r="C226" s="2" t="s">
        <v>516</v>
      </c>
      <c r="D226" s="2" t="s">
        <v>541</v>
      </c>
      <c r="E226" s="2" t="s">
        <v>518</v>
      </c>
      <c r="F226" s="2" t="s">
        <v>542</v>
      </c>
      <c r="G226" s="2" t="s">
        <v>23</v>
      </c>
      <c r="H226" s="2" t="s">
        <v>24</v>
      </c>
      <c r="I226" s="6">
        <v>29.8</v>
      </c>
      <c r="J226" s="6">
        <v>91511</v>
      </c>
      <c r="K226" s="6">
        <v>596980</v>
      </c>
      <c r="L226" s="6">
        <v>691989</v>
      </c>
      <c r="M226" s="6">
        <v>0</v>
      </c>
      <c r="N226" s="6">
        <v>3498</v>
      </c>
      <c r="O226" s="6">
        <v>0</v>
      </c>
      <c r="P226" s="2" t="s">
        <v>25</v>
      </c>
      <c r="Q226" s="2" t="s">
        <v>32</v>
      </c>
      <c r="R226" s="2" t="s">
        <v>27</v>
      </c>
      <c r="S226" s="5">
        <v>1</v>
      </c>
      <c r="T226" s="1">
        <v>0</v>
      </c>
      <c r="U226" s="2">
        <f t="shared" si="40"/>
        <v>1</v>
      </c>
      <c r="V226" s="1">
        <v>0</v>
      </c>
      <c r="W226" s="2">
        <f t="shared" si="41"/>
        <v>1</v>
      </c>
      <c r="X226" s="8">
        <f t="shared" si="42"/>
        <v>100</v>
      </c>
    </row>
    <row r="227" spans="1:24" ht="15" customHeight="1">
      <c r="A227" s="9">
        <v>46054</v>
      </c>
      <c r="B227" s="2" t="s">
        <v>45</v>
      </c>
      <c r="C227" s="2" t="s">
        <v>516</v>
      </c>
      <c r="D227" s="2" t="s">
        <v>543</v>
      </c>
      <c r="E227" s="2" t="s">
        <v>72</v>
      </c>
      <c r="F227" s="2" t="s">
        <v>544</v>
      </c>
      <c r="G227" s="2" t="s">
        <v>65</v>
      </c>
      <c r="H227" s="2" t="s">
        <v>24</v>
      </c>
      <c r="I227" s="6">
        <v>29.84</v>
      </c>
      <c r="J227" s="6">
        <v>20038</v>
      </c>
      <c r="K227" s="6">
        <v>664423</v>
      </c>
      <c r="L227" s="6">
        <v>684461</v>
      </c>
      <c r="M227" s="6">
        <v>0</v>
      </c>
      <c r="N227" s="6">
        <v>0</v>
      </c>
      <c r="O227" s="6">
        <v>0</v>
      </c>
      <c r="P227" s="2" t="s">
        <v>25</v>
      </c>
      <c r="Q227" s="2" t="s">
        <v>32</v>
      </c>
      <c r="R227" s="2" t="s">
        <v>50</v>
      </c>
      <c r="S227" s="5">
        <v>1</v>
      </c>
      <c r="T227" s="1">
        <v>0</v>
      </c>
      <c r="U227" s="2">
        <f t="shared" ref="U227:U233" si="43">T227+S227</f>
        <v>1</v>
      </c>
      <c r="V227" s="1">
        <v>0</v>
      </c>
      <c r="W227" s="2">
        <f>V227+U227</f>
        <v>1</v>
      </c>
      <c r="X227" s="8">
        <v>0</v>
      </c>
    </row>
    <row r="228" spans="1:24" ht="15" customHeight="1">
      <c r="A228" s="9">
        <v>46054</v>
      </c>
      <c r="B228" s="2" t="s">
        <v>45</v>
      </c>
      <c r="C228" s="2" t="s">
        <v>516</v>
      </c>
      <c r="D228" s="2" t="s">
        <v>545</v>
      </c>
      <c r="E228" s="2" t="s">
        <v>1663</v>
      </c>
      <c r="F228" s="2" t="s">
        <v>546</v>
      </c>
      <c r="G228" s="2" t="s">
        <v>23</v>
      </c>
      <c r="H228" s="2" t="s">
        <v>24</v>
      </c>
      <c r="I228" s="6">
        <v>29.84</v>
      </c>
      <c r="J228" s="6">
        <v>68045</v>
      </c>
      <c r="K228" s="6">
        <v>720606</v>
      </c>
      <c r="L228" s="6">
        <v>790948</v>
      </c>
      <c r="M228" s="6">
        <v>0</v>
      </c>
      <c r="N228" s="6">
        <v>2297</v>
      </c>
      <c r="O228" s="6">
        <v>0</v>
      </c>
      <c r="P228" s="2" t="s">
        <v>25</v>
      </c>
      <c r="Q228" s="2" t="s">
        <v>32</v>
      </c>
      <c r="R228" s="2" t="s">
        <v>50</v>
      </c>
      <c r="S228" s="5">
        <v>1</v>
      </c>
      <c r="T228" s="1">
        <v>0</v>
      </c>
      <c r="U228" s="2">
        <f t="shared" si="43"/>
        <v>1</v>
      </c>
      <c r="V228" s="1">
        <v>0</v>
      </c>
      <c r="W228" s="2">
        <f>V228+U228</f>
        <v>1</v>
      </c>
      <c r="X228" s="8">
        <f t="shared" ref="X228:X230" si="44">100/U228*S228</f>
        <v>100</v>
      </c>
    </row>
    <row r="229" spans="1:24" ht="15" customHeight="1">
      <c r="A229" s="9">
        <v>46054</v>
      </c>
      <c r="B229" s="2" t="s">
        <v>45</v>
      </c>
      <c r="C229" s="2" t="s">
        <v>516</v>
      </c>
      <c r="D229" s="2" t="s">
        <v>547</v>
      </c>
      <c r="E229" s="2" t="s">
        <v>548</v>
      </c>
      <c r="F229" s="2" t="s">
        <v>549</v>
      </c>
      <c r="G229" s="2" t="s">
        <v>65</v>
      </c>
      <c r="H229" s="2" t="s">
        <v>24</v>
      </c>
      <c r="I229" s="6">
        <v>35.299999999999997</v>
      </c>
      <c r="J229" s="6">
        <v>1680</v>
      </c>
      <c r="K229" s="6">
        <v>80913</v>
      </c>
      <c r="L229" s="6">
        <v>82593</v>
      </c>
      <c r="M229" s="6">
        <v>0</v>
      </c>
      <c r="N229" s="6">
        <v>0</v>
      </c>
      <c r="O229" s="6">
        <v>0</v>
      </c>
      <c r="P229" s="2" t="s">
        <v>25</v>
      </c>
      <c r="Q229" s="2" t="s">
        <v>32</v>
      </c>
      <c r="R229" s="2" t="s">
        <v>50</v>
      </c>
      <c r="S229" s="5">
        <v>1</v>
      </c>
      <c r="T229" s="1">
        <v>0</v>
      </c>
      <c r="U229" s="2">
        <f t="shared" si="43"/>
        <v>1</v>
      </c>
      <c r="V229" s="1">
        <v>0</v>
      </c>
      <c r="W229" s="2">
        <f t="shared" ref="W229" si="45">V229+U229</f>
        <v>1</v>
      </c>
      <c r="X229" s="8">
        <f t="shared" si="44"/>
        <v>100</v>
      </c>
    </row>
    <row r="230" spans="1:24" ht="15" customHeight="1">
      <c r="A230" s="9">
        <v>46054</v>
      </c>
      <c r="B230" s="2" t="s">
        <v>45</v>
      </c>
      <c r="C230" s="2" t="s">
        <v>516</v>
      </c>
      <c r="D230" s="2" t="s">
        <v>550</v>
      </c>
      <c r="E230" s="2" t="s">
        <v>475</v>
      </c>
      <c r="F230" s="2" t="s">
        <v>551</v>
      </c>
      <c r="G230" s="2" t="s">
        <v>552</v>
      </c>
      <c r="H230" s="2" t="s">
        <v>24</v>
      </c>
      <c r="I230" s="6">
        <v>29.8</v>
      </c>
      <c r="J230" s="6">
        <v>-4209</v>
      </c>
      <c r="K230" s="6">
        <v>635542</v>
      </c>
      <c r="L230" s="6">
        <v>631333</v>
      </c>
      <c r="M230" s="6">
        <v>0</v>
      </c>
      <c r="N230" s="6">
        <v>0</v>
      </c>
      <c r="O230" s="6">
        <v>0</v>
      </c>
      <c r="P230" s="2" t="s">
        <v>25</v>
      </c>
      <c r="Q230" s="2" t="s">
        <v>32</v>
      </c>
      <c r="R230" s="2" t="s">
        <v>27</v>
      </c>
      <c r="S230" s="5">
        <v>1</v>
      </c>
      <c r="T230" s="1">
        <v>0</v>
      </c>
      <c r="U230" s="2">
        <f t="shared" si="43"/>
        <v>1</v>
      </c>
      <c r="V230" s="1">
        <v>0</v>
      </c>
      <c r="W230" s="2">
        <f t="shared" ref="W230:W238" si="46">V230+U230</f>
        <v>1</v>
      </c>
      <c r="X230" s="8">
        <f t="shared" si="44"/>
        <v>100</v>
      </c>
    </row>
    <row r="231" spans="1:24" ht="15" customHeight="1">
      <c r="A231" s="9">
        <v>46054</v>
      </c>
      <c r="B231" s="2" t="s">
        <v>45</v>
      </c>
      <c r="C231" s="2" t="s">
        <v>516</v>
      </c>
      <c r="D231" s="2" t="s">
        <v>553</v>
      </c>
      <c r="E231" s="2" t="s">
        <v>475</v>
      </c>
      <c r="F231" s="2" t="s">
        <v>554</v>
      </c>
      <c r="G231" s="2" t="s">
        <v>65</v>
      </c>
      <c r="H231" s="2" t="s">
        <v>24</v>
      </c>
      <c r="I231" s="6">
        <v>29.84</v>
      </c>
      <c r="J231" s="6">
        <v>517861</v>
      </c>
      <c r="K231" s="6">
        <v>19461</v>
      </c>
      <c r="L231" s="6">
        <v>0</v>
      </c>
      <c r="M231" s="6">
        <v>0</v>
      </c>
      <c r="N231" s="6">
        <v>2022</v>
      </c>
      <c r="O231" s="6">
        <v>539344</v>
      </c>
      <c r="P231" s="2" t="s">
        <v>25</v>
      </c>
      <c r="Q231" s="2" t="s">
        <v>32</v>
      </c>
      <c r="R231" s="2" t="s">
        <v>50</v>
      </c>
      <c r="S231" s="5">
        <v>1</v>
      </c>
      <c r="T231" s="1">
        <v>0</v>
      </c>
      <c r="U231" s="2">
        <f>T231+S231</f>
        <v>1</v>
      </c>
      <c r="V231" s="1">
        <v>0</v>
      </c>
      <c r="W231" s="2">
        <f>V231+U231</f>
        <v>1</v>
      </c>
      <c r="X231" s="8">
        <v>0</v>
      </c>
    </row>
    <row r="232" spans="1:24" ht="15" customHeight="1">
      <c r="A232" s="9">
        <v>46054</v>
      </c>
      <c r="B232" s="2" t="s">
        <v>45</v>
      </c>
      <c r="C232" s="2" t="s">
        <v>516</v>
      </c>
      <c r="D232" s="2" t="s">
        <v>555</v>
      </c>
      <c r="E232" s="2" t="s">
        <v>60</v>
      </c>
      <c r="F232" s="2" t="s">
        <v>556</v>
      </c>
      <c r="G232" s="2" t="s">
        <v>49</v>
      </c>
      <c r="H232" s="2" t="s">
        <v>24</v>
      </c>
      <c r="I232" s="6">
        <v>29.84</v>
      </c>
      <c r="J232" s="6">
        <v>-228</v>
      </c>
      <c r="K232" s="6">
        <v>24315</v>
      </c>
      <c r="L232" s="6">
        <v>24087</v>
      </c>
      <c r="M232" s="6">
        <v>0</v>
      </c>
      <c r="N232" s="6">
        <v>0</v>
      </c>
      <c r="O232" s="6">
        <v>0</v>
      </c>
      <c r="P232" s="2" t="s">
        <v>25</v>
      </c>
      <c r="Q232" s="2" t="s">
        <v>32</v>
      </c>
      <c r="R232" s="2" t="s">
        <v>50</v>
      </c>
      <c r="S232" s="5">
        <v>1</v>
      </c>
      <c r="T232" s="1">
        <v>0</v>
      </c>
      <c r="U232" s="2">
        <f>T232+S232</f>
        <v>1</v>
      </c>
      <c r="V232" s="1">
        <v>0</v>
      </c>
      <c r="W232" s="2">
        <f t="shared" si="46"/>
        <v>1</v>
      </c>
      <c r="X232" s="8">
        <f t="shared" ref="X232:X233" si="47">100/U232*S232</f>
        <v>100</v>
      </c>
    </row>
    <row r="233" spans="1:24" ht="15" customHeight="1">
      <c r="A233" s="9">
        <v>46054</v>
      </c>
      <c r="B233" s="2" t="s">
        <v>45</v>
      </c>
      <c r="C233" s="2" t="s">
        <v>516</v>
      </c>
      <c r="D233" s="2" t="s">
        <v>557</v>
      </c>
      <c r="E233" s="2" t="s">
        <v>558</v>
      </c>
      <c r="F233" s="2" t="s">
        <v>559</v>
      </c>
      <c r="G233" s="2" t="s">
        <v>30</v>
      </c>
      <c r="H233" s="2" t="s">
        <v>24</v>
      </c>
      <c r="I233" s="6">
        <v>102.7</v>
      </c>
      <c r="J233" s="6">
        <v>557536</v>
      </c>
      <c r="K233" s="6">
        <v>389758</v>
      </c>
      <c r="L233" s="6">
        <v>947250</v>
      </c>
      <c r="M233" s="6">
        <v>0</v>
      </c>
      <c r="N233" s="6">
        <v>0</v>
      </c>
      <c r="O233" s="6">
        <v>44</v>
      </c>
      <c r="P233" s="2" t="s">
        <v>40</v>
      </c>
      <c r="Q233" s="2" t="s">
        <v>32</v>
      </c>
      <c r="R233" s="2" t="s">
        <v>33</v>
      </c>
      <c r="S233" s="5">
        <v>1</v>
      </c>
      <c r="T233" s="1">
        <v>0</v>
      </c>
      <c r="U233" s="2">
        <f t="shared" si="43"/>
        <v>1</v>
      </c>
      <c r="V233" s="1">
        <v>0</v>
      </c>
      <c r="W233" s="2">
        <f t="shared" si="46"/>
        <v>1</v>
      </c>
      <c r="X233" s="8">
        <f t="shared" si="47"/>
        <v>100</v>
      </c>
    </row>
    <row r="234" spans="1:24" ht="15" customHeight="1">
      <c r="A234" s="9">
        <v>46054</v>
      </c>
      <c r="B234" s="2" t="s">
        <v>95</v>
      </c>
      <c r="C234" s="2" t="s">
        <v>516</v>
      </c>
      <c r="D234" s="2" t="s">
        <v>560</v>
      </c>
      <c r="E234" s="2" t="s">
        <v>561</v>
      </c>
      <c r="F234" s="2" t="s">
        <v>534</v>
      </c>
      <c r="G234" s="2" t="s">
        <v>65</v>
      </c>
      <c r="H234" s="2" t="s">
        <v>24</v>
      </c>
      <c r="I234" s="6">
        <v>24.61</v>
      </c>
      <c r="J234" s="6">
        <v>1376676</v>
      </c>
      <c r="K234" s="6">
        <v>1180</v>
      </c>
      <c r="L234" s="6">
        <v>0</v>
      </c>
      <c r="M234" s="6">
        <v>0</v>
      </c>
      <c r="N234" s="6">
        <v>50</v>
      </c>
      <c r="O234" s="6">
        <v>1377906</v>
      </c>
      <c r="P234" s="2" t="s">
        <v>31</v>
      </c>
      <c r="Q234" s="2" t="s">
        <v>32</v>
      </c>
      <c r="R234" s="2" t="s">
        <v>522</v>
      </c>
      <c r="S234" s="5">
        <v>0</v>
      </c>
      <c r="T234" s="1">
        <v>1</v>
      </c>
      <c r="U234" s="2">
        <f t="shared" ref="U234:U246" si="48">T234+S234</f>
        <v>1</v>
      </c>
      <c r="V234" s="1">
        <v>0</v>
      </c>
      <c r="W234" s="2">
        <f t="shared" si="46"/>
        <v>1</v>
      </c>
      <c r="X234" s="8">
        <f t="shared" ref="X234:X239" si="49">100/U234*S234</f>
        <v>0</v>
      </c>
    </row>
    <row r="235" spans="1:24" ht="15" customHeight="1">
      <c r="A235" s="9">
        <v>46054</v>
      </c>
      <c r="B235" s="2" t="s">
        <v>95</v>
      </c>
      <c r="C235" s="2" t="s">
        <v>516</v>
      </c>
      <c r="D235" s="2" t="s">
        <v>1434</v>
      </c>
      <c r="E235" s="2" t="s">
        <v>1435</v>
      </c>
      <c r="F235" s="2" t="s">
        <v>1436</v>
      </c>
      <c r="G235" s="2" t="s">
        <v>562</v>
      </c>
      <c r="H235" s="2" t="s">
        <v>24</v>
      </c>
      <c r="I235" s="6">
        <v>23</v>
      </c>
      <c r="J235" s="6">
        <v>35476</v>
      </c>
      <c r="K235" s="6">
        <v>833067</v>
      </c>
      <c r="L235" s="6">
        <v>42823</v>
      </c>
      <c r="M235" s="6">
        <v>0</v>
      </c>
      <c r="N235" s="6">
        <v>34557</v>
      </c>
      <c r="O235" s="6">
        <v>860277</v>
      </c>
      <c r="P235" s="2" t="s">
        <v>25</v>
      </c>
      <c r="Q235" s="2" t="s">
        <v>32</v>
      </c>
      <c r="R235" s="2" t="s">
        <v>522</v>
      </c>
      <c r="S235" s="5">
        <v>0</v>
      </c>
      <c r="T235" s="1">
        <v>1</v>
      </c>
      <c r="U235" s="2">
        <f t="shared" si="48"/>
        <v>1</v>
      </c>
      <c r="V235" s="1">
        <v>0</v>
      </c>
      <c r="W235" s="2">
        <f t="shared" si="46"/>
        <v>1</v>
      </c>
      <c r="X235" s="8">
        <f t="shared" si="49"/>
        <v>0</v>
      </c>
    </row>
    <row r="236" spans="1:24" ht="15" customHeight="1">
      <c r="A236" s="9">
        <v>46054</v>
      </c>
      <c r="B236" s="2" t="s">
        <v>95</v>
      </c>
      <c r="C236" s="2" t="s">
        <v>516</v>
      </c>
      <c r="D236" s="2" t="s">
        <v>563</v>
      </c>
      <c r="E236" s="2" t="s">
        <v>518</v>
      </c>
      <c r="F236" s="2" t="s">
        <v>564</v>
      </c>
      <c r="G236" s="2" t="s">
        <v>23</v>
      </c>
      <c r="H236" s="2" t="s">
        <v>24</v>
      </c>
      <c r="I236" s="6">
        <v>23</v>
      </c>
      <c r="J236" s="6">
        <v>-1</v>
      </c>
      <c r="K236" s="6">
        <v>0</v>
      </c>
      <c r="L236" s="6">
        <v>0</v>
      </c>
      <c r="M236" s="6">
        <v>0</v>
      </c>
      <c r="N236" s="6">
        <v>0</v>
      </c>
      <c r="O236" s="6">
        <v>-1</v>
      </c>
      <c r="P236" s="2" t="s">
        <v>25</v>
      </c>
      <c r="Q236" s="2" t="s">
        <v>26</v>
      </c>
      <c r="R236" s="2" t="s">
        <v>522</v>
      </c>
      <c r="S236" s="5">
        <v>0</v>
      </c>
      <c r="T236" s="1">
        <v>0</v>
      </c>
      <c r="U236" s="2">
        <f>T236+S236</f>
        <v>0</v>
      </c>
      <c r="V236" s="1">
        <v>1</v>
      </c>
      <c r="W236" s="2">
        <f t="shared" si="46"/>
        <v>1</v>
      </c>
      <c r="X236" s="8" t="e">
        <f t="shared" si="49"/>
        <v>#DIV/0!</v>
      </c>
    </row>
    <row r="237" spans="1:24" ht="15" customHeight="1">
      <c r="A237" s="9">
        <v>46054</v>
      </c>
      <c r="B237" s="2" t="s">
        <v>95</v>
      </c>
      <c r="C237" s="2" t="s">
        <v>516</v>
      </c>
      <c r="D237" s="2" t="s">
        <v>565</v>
      </c>
      <c r="E237" s="2" t="s">
        <v>566</v>
      </c>
      <c r="F237" s="2" t="s">
        <v>567</v>
      </c>
      <c r="G237" s="2"/>
      <c r="H237" s="2" t="s">
        <v>24</v>
      </c>
      <c r="I237" s="6">
        <v>22.38</v>
      </c>
      <c r="J237" s="6">
        <v>24682</v>
      </c>
      <c r="K237" s="6">
        <v>420643</v>
      </c>
      <c r="L237" s="6">
        <v>445325</v>
      </c>
      <c r="M237" s="6">
        <v>0</v>
      </c>
      <c r="N237" s="6">
        <v>0</v>
      </c>
      <c r="O237" s="6">
        <v>0</v>
      </c>
      <c r="P237" s="2" t="s">
        <v>25</v>
      </c>
      <c r="Q237" s="2" t="s">
        <v>32</v>
      </c>
      <c r="R237" s="2" t="s">
        <v>522</v>
      </c>
      <c r="S237" s="5">
        <v>1</v>
      </c>
      <c r="T237" s="1">
        <v>0</v>
      </c>
      <c r="U237" s="2">
        <f t="shared" si="48"/>
        <v>1</v>
      </c>
      <c r="V237" s="1">
        <v>0</v>
      </c>
      <c r="W237" s="2">
        <f t="shared" si="46"/>
        <v>1</v>
      </c>
      <c r="X237" s="8">
        <f t="shared" si="49"/>
        <v>100</v>
      </c>
    </row>
    <row r="238" spans="1:24" ht="15" customHeight="1">
      <c r="A238" s="9">
        <v>46054</v>
      </c>
      <c r="B238" s="2" t="s">
        <v>95</v>
      </c>
      <c r="C238" s="2" t="s">
        <v>516</v>
      </c>
      <c r="D238" s="2" t="s">
        <v>1437</v>
      </c>
      <c r="E238" s="2" t="s">
        <v>166</v>
      </c>
      <c r="F238" s="2" t="s">
        <v>1438</v>
      </c>
      <c r="G238" s="2"/>
      <c r="H238" s="2" t="s">
        <v>24</v>
      </c>
      <c r="I238" s="6">
        <v>18.649999999999999</v>
      </c>
      <c r="J238" s="6">
        <v>24078</v>
      </c>
      <c r="K238" s="6">
        <v>612928</v>
      </c>
      <c r="L238" s="6">
        <v>29973</v>
      </c>
      <c r="M238" s="6">
        <v>0</v>
      </c>
      <c r="N238" s="6">
        <v>25418</v>
      </c>
      <c r="O238" s="6">
        <v>632451</v>
      </c>
      <c r="P238" s="2" t="s">
        <v>25</v>
      </c>
      <c r="Q238" s="2" t="s">
        <v>32</v>
      </c>
      <c r="R238" s="2" t="s">
        <v>522</v>
      </c>
      <c r="S238" s="5">
        <v>1</v>
      </c>
      <c r="T238" s="1">
        <v>0</v>
      </c>
      <c r="U238" s="2">
        <f t="shared" si="48"/>
        <v>1</v>
      </c>
      <c r="V238" s="1">
        <v>0</v>
      </c>
      <c r="W238" s="2">
        <f t="shared" si="46"/>
        <v>1</v>
      </c>
      <c r="X238" s="8">
        <f t="shared" si="49"/>
        <v>100</v>
      </c>
    </row>
    <row r="239" spans="1:24" ht="15" customHeight="1">
      <c r="A239" s="9">
        <v>46054</v>
      </c>
      <c r="B239" s="2" t="s">
        <v>95</v>
      </c>
      <c r="C239" s="2" t="s">
        <v>516</v>
      </c>
      <c r="D239" s="2" t="s">
        <v>568</v>
      </c>
      <c r="E239" s="2" t="s">
        <v>569</v>
      </c>
      <c r="F239" s="2" t="s">
        <v>570</v>
      </c>
      <c r="G239" s="2" t="s">
        <v>571</v>
      </c>
      <c r="H239" s="2" t="s">
        <v>24</v>
      </c>
      <c r="I239" s="6">
        <v>18.649999999999999</v>
      </c>
      <c r="J239" s="6">
        <v>-1</v>
      </c>
      <c r="K239" s="6">
        <v>0</v>
      </c>
      <c r="L239" s="6">
        <v>0</v>
      </c>
      <c r="M239" s="6">
        <v>0</v>
      </c>
      <c r="N239" s="6">
        <v>0</v>
      </c>
      <c r="O239" s="6">
        <v>-1</v>
      </c>
      <c r="P239" s="2" t="s">
        <v>25</v>
      </c>
      <c r="Q239" s="2" t="s">
        <v>26</v>
      </c>
      <c r="R239" s="2" t="s">
        <v>522</v>
      </c>
      <c r="S239" s="5">
        <v>0</v>
      </c>
      <c r="T239" s="1">
        <v>0</v>
      </c>
      <c r="U239" s="2">
        <f>T239+S239</f>
        <v>0</v>
      </c>
      <c r="V239" s="1">
        <v>1</v>
      </c>
      <c r="W239" s="2">
        <f t="shared" ref="W239:W251" si="50">V239+U239</f>
        <v>1</v>
      </c>
      <c r="X239" s="8" t="e">
        <f t="shared" si="49"/>
        <v>#DIV/0!</v>
      </c>
    </row>
    <row r="240" spans="1:24" ht="15" customHeight="1">
      <c r="A240" s="9">
        <v>46054</v>
      </c>
      <c r="B240" s="2" t="s">
        <v>95</v>
      </c>
      <c r="C240" s="2" t="s">
        <v>516</v>
      </c>
      <c r="D240" s="2" t="s">
        <v>572</v>
      </c>
      <c r="E240" s="2" t="s">
        <v>569</v>
      </c>
      <c r="F240" s="2" t="s">
        <v>573</v>
      </c>
      <c r="G240" s="2" t="s">
        <v>571</v>
      </c>
      <c r="H240" s="2" t="s">
        <v>24</v>
      </c>
      <c r="I240" s="6">
        <v>18</v>
      </c>
      <c r="J240" s="6">
        <v>30874</v>
      </c>
      <c r="K240" s="6">
        <v>764845</v>
      </c>
      <c r="L240" s="6">
        <v>36652</v>
      </c>
      <c r="M240" s="6">
        <v>0</v>
      </c>
      <c r="N240" s="6">
        <v>31772</v>
      </c>
      <c r="O240" s="6">
        <v>790839</v>
      </c>
      <c r="P240" s="2" t="s">
        <v>25</v>
      </c>
      <c r="Q240" s="2" t="s">
        <v>32</v>
      </c>
      <c r="R240" s="2" t="s">
        <v>522</v>
      </c>
      <c r="S240" s="5">
        <v>1</v>
      </c>
      <c r="T240" s="1">
        <v>0</v>
      </c>
      <c r="U240" s="2">
        <f t="shared" si="48"/>
        <v>1</v>
      </c>
      <c r="V240" s="1">
        <v>0</v>
      </c>
      <c r="W240" s="2">
        <f t="shared" si="50"/>
        <v>1</v>
      </c>
      <c r="X240" s="8">
        <v>100</v>
      </c>
    </row>
    <row r="241" spans="1:24" ht="15" customHeight="1">
      <c r="A241" s="9">
        <v>46054</v>
      </c>
      <c r="B241" s="2" t="s">
        <v>95</v>
      </c>
      <c r="C241" s="2" t="s">
        <v>516</v>
      </c>
      <c r="D241" s="2" t="s">
        <v>1439</v>
      </c>
      <c r="E241" s="2" t="s">
        <v>72</v>
      </c>
      <c r="F241" s="2" t="s">
        <v>1440</v>
      </c>
      <c r="G241" s="2"/>
      <c r="H241" s="2" t="s">
        <v>24</v>
      </c>
      <c r="I241" s="6">
        <v>22.35</v>
      </c>
      <c r="J241" s="6">
        <v>2562</v>
      </c>
      <c r="K241" s="6">
        <v>61555</v>
      </c>
      <c r="L241" s="6">
        <v>4074</v>
      </c>
      <c r="M241" s="6">
        <v>0</v>
      </c>
      <c r="N241" s="6">
        <v>2559</v>
      </c>
      <c r="O241" s="6">
        <v>62602</v>
      </c>
      <c r="P241" s="2" t="s">
        <v>25</v>
      </c>
      <c r="Q241" s="2" t="s">
        <v>32</v>
      </c>
      <c r="R241" s="2" t="s">
        <v>522</v>
      </c>
      <c r="S241" s="5">
        <v>1</v>
      </c>
      <c r="T241" s="1">
        <v>0</v>
      </c>
      <c r="U241" s="2">
        <f t="shared" si="48"/>
        <v>1</v>
      </c>
      <c r="V241" s="1">
        <v>0</v>
      </c>
      <c r="W241" s="2">
        <f t="shared" si="50"/>
        <v>1</v>
      </c>
      <c r="X241" s="8">
        <f t="shared" ref="X241:X247" si="51">100/U241*S241</f>
        <v>100</v>
      </c>
    </row>
    <row r="242" spans="1:24" ht="15" customHeight="1">
      <c r="A242" s="9">
        <v>46054</v>
      </c>
      <c r="B242" s="2" t="s">
        <v>95</v>
      </c>
      <c r="C242" s="2" t="s">
        <v>516</v>
      </c>
      <c r="D242" s="2" t="s">
        <v>1441</v>
      </c>
      <c r="E242" s="2" t="s">
        <v>1442</v>
      </c>
      <c r="F242" s="2" t="s">
        <v>1443</v>
      </c>
      <c r="G242" s="2" t="s">
        <v>562</v>
      </c>
      <c r="H242" s="2" t="s">
        <v>24</v>
      </c>
      <c r="I242" s="6">
        <v>18.649999999999999</v>
      </c>
      <c r="J242" s="6">
        <v>-2605</v>
      </c>
      <c r="K242" s="6">
        <v>0</v>
      </c>
      <c r="L242" s="6">
        <v>0</v>
      </c>
      <c r="M242" s="6">
        <v>0</v>
      </c>
      <c r="N242" s="6">
        <v>0</v>
      </c>
      <c r="O242" s="6">
        <v>-2605</v>
      </c>
      <c r="P242" s="2" t="s">
        <v>25</v>
      </c>
      <c r="Q242" s="2" t="s">
        <v>26</v>
      </c>
      <c r="R242" s="2" t="s">
        <v>522</v>
      </c>
      <c r="S242" s="5">
        <v>0</v>
      </c>
      <c r="T242" s="1">
        <v>0</v>
      </c>
      <c r="U242" s="2">
        <f t="shared" si="48"/>
        <v>0</v>
      </c>
      <c r="V242" s="1">
        <v>1</v>
      </c>
      <c r="W242" s="2">
        <f t="shared" si="50"/>
        <v>1</v>
      </c>
      <c r="X242" s="8" t="e">
        <f t="shared" si="51"/>
        <v>#DIV/0!</v>
      </c>
    </row>
    <row r="243" spans="1:24" ht="15" customHeight="1">
      <c r="A243" s="9">
        <v>46054</v>
      </c>
      <c r="B243" s="2" t="s">
        <v>18</v>
      </c>
      <c r="C243" s="2" t="s">
        <v>574</v>
      </c>
      <c r="D243" s="2" t="s">
        <v>1444</v>
      </c>
      <c r="E243" s="2" t="s">
        <v>518</v>
      </c>
      <c r="F243" s="2" t="s">
        <v>575</v>
      </c>
      <c r="G243" s="2" t="s">
        <v>23</v>
      </c>
      <c r="H243" s="2" t="s">
        <v>24</v>
      </c>
      <c r="I243" s="6">
        <v>30</v>
      </c>
      <c r="J243" s="6">
        <v>0</v>
      </c>
      <c r="K243" s="6">
        <v>0</v>
      </c>
      <c r="L243" s="6">
        <v>0</v>
      </c>
      <c r="M243" s="6">
        <v>0</v>
      </c>
      <c r="N243" s="6">
        <v>0</v>
      </c>
      <c r="O243" s="6">
        <v>0</v>
      </c>
      <c r="P243" s="2" t="s">
        <v>25</v>
      </c>
      <c r="Q243" s="2" t="s">
        <v>26</v>
      </c>
      <c r="R243" s="2" t="s">
        <v>27</v>
      </c>
      <c r="S243" s="5">
        <v>0</v>
      </c>
      <c r="T243" s="1">
        <v>0</v>
      </c>
      <c r="U243" s="2">
        <f t="shared" si="48"/>
        <v>0</v>
      </c>
      <c r="V243" s="1">
        <v>1</v>
      </c>
      <c r="W243" s="2">
        <f t="shared" si="50"/>
        <v>1</v>
      </c>
      <c r="X243" s="8" t="e">
        <f t="shared" si="51"/>
        <v>#DIV/0!</v>
      </c>
    </row>
    <row r="244" spans="1:24" ht="15" customHeight="1">
      <c r="A244" s="9">
        <v>46054</v>
      </c>
      <c r="B244" s="2" t="s">
        <v>18</v>
      </c>
      <c r="C244" s="2" t="s">
        <v>574</v>
      </c>
      <c r="D244" s="2" t="s">
        <v>1445</v>
      </c>
      <c r="E244" s="2" t="s">
        <v>518</v>
      </c>
      <c r="F244" s="2" t="s">
        <v>1446</v>
      </c>
      <c r="G244" s="2" t="s">
        <v>23</v>
      </c>
      <c r="H244" s="2" t="s">
        <v>24</v>
      </c>
      <c r="I244" s="6">
        <v>29.84</v>
      </c>
      <c r="J244" s="6">
        <v>0</v>
      </c>
      <c r="K244" s="6">
        <v>0</v>
      </c>
      <c r="L244" s="6">
        <v>0</v>
      </c>
      <c r="M244" s="6">
        <v>0</v>
      </c>
      <c r="N244" s="6">
        <v>0</v>
      </c>
      <c r="O244" s="6">
        <v>0</v>
      </c>
      <c r="P244" s="2" t="s">
        <v>25</v>
      </c>
      <c r="Q244" s="2" t="s">
        <v>26</v>
      </c>
      <c r="R244" s="2" t="s">
        <v>27</v>
      </c>
      <c r="S244" s="5">
        <v>0</v>
      </c>
      <c r="T244" s="1">
        <v>0</v>
      </c>
      <c r="U244" s="2">
        <f t="shared" si="48"/>
        <v>0</v>
      </c>
      <c r="V244" s="1">
        <v>1</v>
      </c>
      <c r="W244" s="2">
        <f t="shared" si="50"/>
        <v>1</v>
      </c>
      <c r="X244" s="8" t="e">
        <f t="shared" si="51"/>
        <v>#DIV/0!</v>
      </c>
    </row>
    <row r="245" spans="1:24" ht="15" customHeight="1">
      <c r="A245" s="9">
        <v>46054</v>
      </c>
      <c r="B245" s="2" t="s">
        <v>18</v>
      </c>
      <c r="C245" s="2" t="s">
        <v>574</v>
      </c>
      <c r="D245" s="2" t="s">
        <v>1447</v>
      </c>
      <c r="E245" s="2" t="s">
        <v>475</v>
      </c>
      <c r="F245" s="2" t="s">
        <v>1448</v>
      </c>
      <c r="G245" s="2" t="s">
        <v>23</v>
      </c>
      <c r="H245" s="2" t="s">
        <v>24</v>
      </c>
      <c r="I245" s="6">
        <v>14.92</v>
      </c>
      <c r="J245" s="6">
        <v>0</v>
      </c>
      <c r="K245" s="6">
        <v>0</v>
      </c>
      <c r="L245" s="6">
        <v>0</v>
      </c>
      <c r="M245" s="6">
        <v>0</v>
      </c>
      <c r="N245" s="6">
        <v>0</v>
      </c>
      <c r="O245" s="6">
        <v>0</v>
      </c>
      <c r="P245" s="2" t="s">
        <v>25</v>
      </c>
      <c r="Q245" s="2" t="s">
        <v>26</v>
      </c>
      <c r="R245" s="2" t="s">
        <v>27</v>
      </c>
      <c r="S245" s="5">
        <v>0</v>
      </c>
      <c r="T245" s="1">
        <v>0</v>
      </c>
      <c r="U245" s="2">
        <f t="shared" si="48"/>
        <v>0</v>
      </c>
      <c r="V245" s="1">
        <v>1</v>
      </c>
      <c r="W245" s="2">
        <f t="shared" si="50"/>
        <v>1</v>
      </c>
      <c r="X245" s="8" t="e">
        <f t="shared" si="51"/>
        <v>#DIV/0!</v>
      </c>
    </row>
    <row r="246" spans="1:24" ht="15" customHeight="1">
      <c r="A246" s="9">
        <v>46054</v>
      </c>
      <c r="B246" s="2" t="s">
        <v>18</v>
      </c>
      <c r="C246" s="2" t="s">
        <v>574</v>
      </c>
      <c r="D246" s="2" t="s">
        <v>576</v>
      </c>
      <c r="E246" s="2" t="s">
        <v>569</v>
      </c>
      <c r="F246" s="2" t="s">
        <v>577</v>
      </c>
      <c r="G246" s="2" t="s">
        <v>571</v>
      </c>
      <c r="H246" s="2" t="s">
        <v>24</v>
      </c>
      <c r="I246" s="6">
        <v>12</v>
      </c>
      <c r="J246" s="6">
        <v>-1</v>
      </c>
      <c r="K246" s="6">
        <v>0</v>
      </c>
      <c r="L246" s="6">
        <v>0</v>
      </c>
      <c r="M246" s="6">
        <v>0</v>
      </c>
      <c r="N246" s="6">
        <v>0</v>
      </c>
      <c r="O246" s="6">
        <v>-1</v>
      </c>
      <c r="P246" s="2" t="s">
        <v>25</v>
      </c>
      <c r="Q246" s="2" t="s">
        <v>26</v>
      </c>
      <c r="R246" s="2" t="s">
        <v>27</v>
      </c>
      <c r="S246" s="5">
        <v>0</v>
      </c>
      <c r="T246" s="1">
        <v>0</v>
      </c>
      <c r="U246" s="2">
        <f t="shared" si="48"/>
        <v>0</v>
      </c>
      <c r="V246" s="1">
        <v>1</v>
      </c>
      <c r="W246" s="2">
        <f t="shared" si="50"/>
        <v>1</v>
      </c>
      <c r="X246" s="8" t="e">
        <f t="shared" si="51"/>
        <v>#DIV/0!</v>
      </c>
    </row>
    <row r="247" spans="1:24" ht="15" customHeight="1">
      <c r="A247" s="9">
        <v>46054</v>
      </c>
      <c r="B247" s="2" t="s">
        <v>45</v>
      </c>
      <c r="C247" s="2" t="s">
        <v>574</v>
      </c>
      <c r="D247" s="2" t="s">
        <v>1449</v>
      </c>
      <c r="E247" s="2" t="s">
        <v>475</v>
      </c>
      <c r="F247" s="2" t="s">
        <v>578</v>
      </c>
      <c r="G247" s="2" t="s">
        <v>23</v>
      </c>
      <c r="H247" s="2" t="s">
        <v>24</v>
      </c>
      <c r="I247" s="6">
        <v>59.68</v>
      </c>
      <c r="J247" s="6">
        <v>1389802</v>
      </c>
      <c r="K247" s="6">
        <v>20820700</v>
      </c>
      <c r="L247" s="6">
        <v>22245501</v>
      </c>
      <c r="M247" s="6">
        <v>0</v>
      </c>
      <c r="N247" s="6">
        <v>34999</v>
      </c>
      <c r="O247" s="6">
        <v>0</v>
      </c>
      <c r="P247" s="2" t="s">
        <v>25</v>
      </c>
      <c r="Q247" s="2" t="s">
        <v>32</v>
      </c>
      <c r="R247" s="2" t="s">
        <v>27</v>
      </c>
      <c r="S247" s="5">
        <v>1</v>
      </c>
      <c r="T247" s="1">
        <v>0</v>
      </c>
      <c r="U247" s="2">
        <f>T247+S247</f>
        <v>1</v>
      </c>
      <c r="V247" s="1">
        <v>0</v>
      </c>
      <c r="W247" s="2">
        <f t="shared" si="50"/>
        <v>1</v>
      </c>
      <c r="X247" s="8">
        <f t="shared" si="51"/>
        <v>100</v>
      </c>
    </row>
    <row r="248" spans="1:24" ht="15" customHeight="1">
      <c r="A248" s="9">
        <v>46054</v>
      </c>
      <c r="B248" s="2" t="s">
        <v>45</v>
      </c>
      <c r="C248" s="2" t="s">
        <v>574</v>
      </c>
      <c r="D248" s="2" t="s">
        <v>1450</v>
      </c>
      <c r="E248" s="2" t="s">
        <v>533</v>
      </c>
      <c r="F248" s="2" t="s">
        <v>1451</v>
      </c>
      <c r="G248" s="2" t="s">
        <v>193</v>
      </c>
      <c r="H248" s="2" t="s">
        <v>24</v>
      </c>
      <c r="I248" s="6">
        <v>57</v>
      </c>
      <c r="J248" s="6">
        <v>0</v>
      </c>
      <c r="K248" s="6">
        <v>0</v>
      </c>
      <c r="L248" s="6">
        <v>0</v>
      </c>
      <c r="M248" s="6">
        <v>0</v>
      </c>
      <c r="N248" s="6">
        <v>0</v>
      </c>
      <c r="O248" s="6">
        <v>0</v>
      </c>
      <c r="P248" s="2" t="s">
        <v>25</v>
      </c>
      <c r="Q248" s="2" t="s">
        <v>26</v>
      </c>
      <c r="R248" s="2" t="s">
        <v>27</v>
      </c>
      <c r="S248" s="5">
        <v>0</v>
      </c>
      <c r="T248" s="1">
        <v>0</v>
      </c>
      <c r="U248" s="2">
        <f t="shared" ref="U248:U254" si="52">T248+S248</f>
        <v>0</v>
      </c>
      <c r="V248" s="1">
        <v>1</v>
      </c>
      <c r="W248" s="2">
        <f t="shared" si="50"/>
        <v>1</v>
      </c>
      <c r="X248" s="8" t="e">
        <f t="shared" ref="X248:X252" si="53">100/U248*S248</f>
        <v>#DIV/0!</v>
      </c>
    </row>
    <row r="249" spans="1:24" ht="15" customHeight="1">
      <c r="A249" s="9">
        <v>46054</v>
      </c>
      <c r="B249" s="2" t="s">
        <v>45</v>
      </c>
      <c r="C249" s="2" t="s">
        <v>574</v>
      </c>
      <c r="D249" s="2" t="s">
        <v>1452</v>
      </c>
      <c r="E249" s="2" t="s">
        <v>533</v>
      </c>
      <c r="F249" s="2" t="s">
        <v>1451</v>
      </c>
      <c r="G249" s="2" t="s">
        <v>193</v>
      </c>
      <c r="H249" s="2" t="s">
        <v>24</v>
      </c>
      <c r="I249" s="6">
        <v>59.98</v>
      </c>
      <c r="J249" s="6">
        <v>0</v>
      </c>
      <c r="K249" s="6">
        <v>0</v>
      </c>
      <c r="L249" s="6">
        <v>0</v>
      </c>
      <c r="M249" s="6">
        <v>0</v>
      </c>
      <c r="N249" s="6">
        <v>0</v>
      </c>
      <c r="O249" s="6">
        <v>0</v>
      </c>
      <c r="P249" s="2" t="s">
        <v>25</v>
      </c>
      <c r="Q249" s="2" t="s">
        <v>26</v>
      </c>
      <c r="R249" s="2" t="s">
        <v>27</v>
      </c>
      <c r="S249" s="5">
        <v>0</v>
      </c>
      <c r="T249" s="1">
        <v>0</v>
      </c>
      <c r="U249" s="2">
        <f t="shared" si="52"/>
        <v>0</v>
      </c>
      <c r="V249" s="1">
        <v>1</v>
      </c>
      <c r="W249" s="2">
        <f t="shared" si="50"/>
        <v>1</v>
      </c>
      <c r="X249" s="8" t="e">
        <f t="shared" si="53"/>
        <v>#DIV/0!</v>
      </c>
    </row>
    <row r="250" spans="1:24" ht="15" customHeight="1">
      <c r="A250" s="9">
        <v>46054</v>
      </c>
      <c r="B250" s="2" t="s">
        <v>45</v>
      </c>
      <c r="C250" s="2" t="s">
        <v>574</v>
      </c>
      <c r="D250" s="2" t="s">
        <v>1453</v>
      </c>
      <c r="E250" s="2" t="s">
        <v>221</v>
      </c>
      <c r="F250" s="2" t="s">
        <v>562</v>
      </c>
      <c r="G250" s="2"/>
      <c r="H250" s="2" t="s">
        <v>24</v>
      </c>
      <c r="I250" s="6">
        <v>29.84</v>
      </c>
      <c r="J250" s="6">
        <v>0</v>
      </c>
      <c r="K250" s="6">
        <v>0</v>
      </c>
      <c r="L250" s="6">
        <v>0</v>
      </c>
      <c r="M250" s="6">
        <v>0</v>
      </c>
      <c r="N250" s="6">
        <v>0</v>
      </c>
      <c r="O250" s="6">
        <v>0</v>
      </c>
      <c r="P250" s="2" t="s">
        <v>25</v>
      </c>
      <c r="Q250" s="2" t="s">
        <v>26</v>
      </c>
      <c r="R250" s="2" t="s">
        <v>27</v>
      </c>
      <c r="S250" s="5">
        <v>0</v>
      </c>
      <c r="T250" s="1">
        <v>0</v>
      </c>
      <c r="U250" s="2">
        <f t="shared" si="52"/>
        <v>0</v>
      </c>
      <c r="V250" s="1">
        <v>1</v>
      </c>
      <c r="W250" s="2">
        <f t="shared" si="50"/>
        <v>1</v>
      </c>
      <c r="X250" s="8" t="e">
        <f t="shared" si="53"/>
        <v>#DIV/0!</v>
      </c>
    </row>
    <row r="251" spans="1:24" ht="15" customHeight="1">
      <c r="A251" s="9">
        <v>46054</v>
      </c>
      <c r="B251" s="2" t="s">
        <v>45</v>
      </c>
      <c r="C251" s="2" t="s">
        <v>574</v>
      </c>
      <c r="D251" s="2" t="s">
        <v>1454</v>
      </c>
      <c r="E251" s="2" t="s">
        <v>518</v>
      </c>
      <c r="F251" s="2" t="s">
        <v>578</v>
      </c>
      <c r="G251" s="2" t="s">
        <v>23</v>
      </c>
      <c r="H251" s="2" t="s">
        <v>24</v>
      </c>
      <c r="I251" s="6">
        <v>36.700000000000003</v>
      </c>
      <c r="J251" s="6">
        <v>0</v>
      </c>
      <c r="K251" s="6">
        <v>0</v>
      </c>
      <c r="L251" s="6">
        <v>0</v>
      </c>
      <c r="M251" s="6">
        <v>0</v>
      </c>
      <c r="N251" s="6">
        <v>0</v>
      </c>
      <c r="O251" s="6">
        <v>0</v>
      </c>
      <c r="P251" s="2" t="s">
        <v>25</v>
      </c>
      <c r="Q251" s="2" t="s">
        <v>26</v>
      </c>
      <c r="R251" s="2" t="s">
        <v>27</v>
      </c>
      <c r="S251" s="5">
        <v>0</v>
      </c>
      <c r="T251" s="1">
        <v>0</v>
      </c>
      <c r="U251" s="2">
        <f t="shared" si="52"/>
        <v>0</v>
      </c>
      <c r="V251" s="1">
        <v>1</v>
      </c>
      <c r="W251" s="2">
        <f t="shared" si="50"/>
        <v>1</v>
      </c>
      <c r="X251" s="8" t="e">
        <f t="shared" si="53"/>
        <v>#DIV/0!</v>
      </c>
    </row>
    <row r="252" spans="1:24" ht="15" customHeight="1">
      <c r="A252" s="9">
        <v>46054</v>
      </c>
      <c r="B252" s="2" t="s">
        <v>45</v>
      </c>
      <c r="C252" s="2" t="s">
        <v>574</v>
      </c>
      <c r="D252" s="2" t="s">
        <v>1455</v>
      </c>
      <c r="E252" s="2" t="s">
        <v>518</v>
      </c>
      <c r="F252" s="2" t="s">
        <v>578</v>
      </c>
      <c r="G252" s="2" t="s">
        <v>23</v>
      </c>
      <c r="H252" s="2" t="s">
        <v>24</v>
      </c>
      <c r="I252" s="6">
        <v>29.84</v>
      </c>
      <c r="J252" s="6">
        <v>0</v>
      </c>
      <c r="K252" s="6">
        <v>0</v>
      </c>
      <c r="L252" s="6">
        <v>0</v>
      </c>
      <c r="M252" s="6">
        <v>0</v>
      </c>
      <c r="N252" s="6">
        <v>0</v>
      </c>
      <c r="O252" s="6">
        <v>0</v>
      </c>
      <c r="P252" s="2" t="s">
        <v>25</v>
      </c>
      <c r="Q252" s="2" t="s">
        <v>26</v>
      </c>
      <c r="R252" s="2" t="s">
        <v>27</v>
      </c>
      <c r="S252" s="5">
        <v>0</v>
      </c>
      <c r="T252" s="1">
        <v>0</v>
      </c>
      <c r="U252" s="2">
        <f t="shared" si="52"/>
        <v>0</v>
      </c>
      <c r="V252" s="1">
        <v>1</v>
      </c>
      <c r="W252" s="2">
        <f>V252+U252</f>
        <v>1</v>
      </c>
      <c r="X252" s="8" t="e">
        <f t="shared" si="53"/>
        <v>#DIV/0!</v>
      </c>
    </row>
    <row r="253" spans="1:24" ht="15" customHeight="1">
      <c r="A253" s="9">
        <v>46054</v>
      </c>
      <c r="B253" s="2" t="s">
        <v>45</v>
      </c>
      <c r="C253" s="2" t="s">
        <v>574</v>
      </c>
      <c r="D253" s="2" t="s">
        <v>1456</v>
      </c>
      <c r="E253" s="2" t="s">
        <v>1457</v>
      </c>
      <c r="F253" s="2" t="s">
        <v>1451</v>
      </c>
      <c r="G253" s="2" t="s">
        <v>193</v>
      </c>
      <c r="H253" s="2" t="s">
        <v>24</v>
      </c>
      <c r="I253" s="6">
        <v>37.299999999999997</v>
      </c>
      <c r="J253" s="6">
        <v>0</v>
      </c>
      <c r="K253" s="6">
        <v>0</v>
      </c>
      <c r="L253" s="6">
        <v>0</v>
      </c>
      <c r="M253" s="6">
        <v>0</v>
      </c>
      <c r="N253" s="6">
        <v>0</v>
      </c>
      <c r="O253" s="6">
        <v>0</v>
      </c>
      <c r="P253" s="2" t="s">
        <v>25</v>
      </c>
      <c r="Q253" s="2" t="s">
        <v>26</v>
      </c>
      <c r="R253" s="2" t="s">
        <v>27</v>
      </c>
      <c r="S253" s="5">
        <v>0</v>
      </c>
      <c r="T253" s="1">
        <v>0</v>
      </c>
      <c r="U253" s="2">
        <f t="shared" si="52"/>
        <v>0</v>
      </c>
      <c r="V253" s="1">
        <v>1</v>
      </c>
      <c r="W253" s="2">
        <f t="shared" ref="W253:W254" si="54">V253+U253</f>
        <v>1</v>
      </c>
      <c r="X253" s="8" t="e">
        <f t="shared" ref="X253:X254" si="55">100/U253*S253</f>
        <v>#DIV/0!</v>
      </c>
    </row>
    <row r="254" spans="1:24" ht="15" customHeight="1">
      <c r="A254" s="9">
        <v>46054</v>
      </c>
      <c r="B254" s="2" t="s">
        <v>45</v>
      </c>
      <c r="C254" s="2" t="s">
        <v>574</v>
      </c>
      <c r="D254" s="2" t="s">
        <v>579</v>
      </c>
      <c r="E254" s="2" t="s">
        <v>60</v>
      </c>
      <c r="F254" s="2" t="s">
        <v>580</v>
      </c>
      <c r="G254" s="2" t="s">
        <v>490</v>
      </c>
      <c r="H254" s="2" t="s">
        <v>24</v>
      </c>
      <c r="I254" s="6">
        <v>48.49</v>
      </c>
      <c r="J254" s="6">
        <v>0</v>
      </c>
      <c r="K254" s="6">
        <v>0</v>
      </c>
      <c r="L254" s="6">
        <v>0</v>
      </c>
      <c r="M254" s="6">
        <v>0</v>
      </c>
      <c r="N254" s="6">
        <v>0</v>
      </c>
      <c r="O254" s="6">
        <v>0</v>
      </c>
      <c r="P254" s="2" t="s">
        <v>25</v>
      </c>
      <c r="Q254" s="2" t="s">
        <v>26</v>
      </c>
      <c r="R254" s="2" t="s">
        <v>528</v>
      </c>
      <c r="S254" s="5">
        <v>0</v>
      </c>
      <c r="T254" s="1">
        <v>0</v>
      </c>
      <c r="U254" s="2">
        <f t="shared" si="52"/>
        <v>0</v>
      </c>
      <c r="V254" s="1">
        <v>1</v>
      </c>
      <c r="W254" s="2">
        <f t="shared" si="54"/>
        <v>1</v>
      </c>
      <c r="X254" s="8" t="e">
        <f t="shared" si="55"/>
        <v>#DIV/0!</v>
      </c>
    </row>
    <row r="255" spans="1:24" ht="15" customHeight="1">
      <c r="A255" s="9">
        <v>46054</v>
      </c>
      <c r="B255" s="2" t="s">
        <v>45</v>
      </c>
      <c r="C255" s="2" t="s">
        <v>574</v>
      </c>
      <c r="D255" s="2" t="s">
        <v>581</v>
      </c>
      <c r="E255" s="2" t="s">
        <v>475</v>
      </c>
      <c r="F255" s="2" t="s">
        <v>582</v>
      </c>
      <c r="G255" s="2" t="s">
        <v>583</v>
      </c>
      <c r="H255" s="2" t="s">
        <v>24</v>
      </c>
      <c r="I255" s="6">
        <v>36</v>
      </c>
      <c r="J255" s="6">
        <v>361751</v>
      </c>
      <c r="K255" s="6">
        <v>321637</v>
      </c>
      <c r="L255" s="6">
        <v>696723</v>
      </c>
      <c r="M255" s="6">
        <v>0</v>
      </c>
      <c r="N255" s="6">
        <v>13335</v>
      </c>
      <c r="O255" s="6">
        <v>0</v>
      </c>
      <c r="P255" s="2" t="s">
        <v>25</v>
      </c>
      <c r="Q255" s="2" t="s">
        <v>32</v>
      </c>
      <c r="R255" s="2" t="s">
        <v>27</v>
      </c>
      <c r="S255" s="5">
        <v>1</v>
      </c>
      <c r="T255" s="1">
        <v>0</v>
      </c>
      <c r="U255" s="2">
        <f t="shared" ref="U255:U258" si="56">T255+S255</f>
        <v>1</v>
      </c>
      <c r="V255" s="1">
        <v>0</v>
      </c>
      <c r="W255" s="2">
        <f>V255+U255</f>
        <v>1</v>
      </c>
      <c r="X255" s="8">
        <v>100</v>
      </c>
    </row>
    <row r="256" spans="1:24" ht="15" customHeight="1">
      <c r="A256" s="9">
        <v>46054</v>
      </c>
      <c r="B256" s="2" t="s">
        <v>45</v>
      </c>
      <c r="C256" s="2" t="s">
        <v>574</v>
      </c>
      <c r="D256" s="2" t="s">
        <v>584</v>
      </c>
      <c r="E256" s="2" t="s">
        <v>60</v>
      </c>
      <c r="F256" s="2" t="s">
        <v>585</v>
      </c>
      <c r="G256" s="2" t="s">
        <v>586</v>
      </c>
      <c r="H256" s="2" t="s">
        <v>24</v>
      </c>
      <c r="I256" s="6">
        <v>48.49</v>
      </c>
      <c r="J256" s="6">
        <v>208828</v>
      </c>
      <c r="K256" s="6">
        <v>1891180</v>
      </c>
      <c r="L256" s="6">
        <v>2105977</v>
      </c>
      <c r="M256" s="6">
        <v>0</v>
      </c>
      <c r="N256" s="6">
        <v>5969</v>
      </c>
      <c r="O256" s="6">
        <v>0</v>
      </c>
      <c r="P256" s="2" t="s">
        <v>25</v>
      </c>
      <c r="Q256" s="2" t="s">
        <v>32</v>
      </c>
      <c r="R256" s="2" t="s">
        <v>50</v>
      </c>
      <c r="S256" s="5">
        <v>1</v>
      </c>
      <c r="T256" s="1">
        <v>0</v>
      </c>
      <c r="U256" s="2">
        <f t="shared" si="56"/>
        <v>1</v>
      </c>
      <c r="V256" s="1">
        <v>0</v>
      </c>
      <c r="W256" s="2">
        <f>V256+U256</f>
        <v>1</v>
      </c>
      <c r="X256" s="8">
        <f t="shared" ref="X256:X289" si="57">100/U256*S256</f>
        <v>100</v>
      </c>
    </row>
    <row r="257" spans="1:24" ht="15" customHeight="1">
      <c r="A257" s="9">
        <v>46054</v>
      </c>
      <c r="B257" s="2" t="s">
        <v>45</v>
      </c>
      <c r="C257" s="2" t="s">
        <v>574</v>
      </c>
      <c r="D257" s="2" t="s">
        <v>587</v>
      </c>
      <c r="E257" s="2" t="s">
        <v>518</v>
      </c>
      <c r="F257" s="2" t="s">
        <v>588</v>
      </c>
      <c r="G257" s="2" t="s">
        <v>23</v>
      </c>
      <c r="H257" s="2" t="s">
        <v>24</v>
      </c>
      <c r="I257" s="6">
        <v>37.03</v>
      </c>
      <c r="J257" s="6">
        <v>1156768</v>
      </c>
      <c r="K257" s="6">
        <v>671893</v>
      </c>
      <c r="L257" s="6">
        <v>1875099</v>
      </c>
      <c r="M257" s="6">
        <v>0</v>
      </c>
      <c r="N257" s="6">
        <v>46438</v>
      </c>
      <c r="O257" s="6">
        <v>0</v>
      </c>
      <c r="P257" s="2" t="s">
        <v>25</v>
      </c>
      <c r="Q257" s="2" t="s">
        <v>32</v>
      </c>
      <c r="R257" s="2" t="s">
        <v>27</v>
      </c>
      <c r="S257" s="5">
        <v>1</v>
      </c>
      <c r="T257" s="1">
        <v>0</v>
      </c>
      <c r="U257" s="2">
        <f t="shared" si="56"/>
        <v>1</v>
      </c>
      <c r="V257" s="1">
        <v>0</v>
      </c>
      <c r="W257" s="2">
        <f t="shared" ref="W257:W286" si="58">V257+U257</f>
        <v>1</v>
      </c>
      <c r="X257" s="8">
        <f t="shared" si="57"/>
        <v>100</v>
      </c>
    </row>
    <row r="258" spans="1:24" ht="15" customHeight="1">
      <c r="A258" s="9">
        <v>46054</v>
      </c>
      <c r="B258" s="2" t="s">
        <v>45</v>
      </c>
      <c r="C258" s="2" t="s">
        <v>574</v>
      </c>
      <c r="D258" s="2" t="s">
        <v>589</v>
      </c>
      <c r="E258" s="2" t="s">
        <v>518</v>
      </c>
      <c r="F258" s="2" t="s">
        <v>578</v>
      </c>
      <c r="G258" s="2" t="s">
        <v>23</v>
      </c>
      <c r="H258" s="2" t="s">
        <v>24</v>
      </c>
      <c r="I258" s="6">
        <v>29.84</v>
      </c>
      <c r="J258" s="6">
        <v>90798</v>
      </c>
      <c r="K258" s="6">
        <v>641810</v>
      </c>
      <c r="L258" s="6">
        <v>735826</v>
      </c>
      <c r="M258" s="6">
        <v>0</v>
      </c>
      <c r="N258" s="6">
        <v>3218</v>
      </c>
      <c r="O258" s="6">
        <v>0</v>
      </c>
      <c r="P258" s="2" t="s">
        <v>25</v>
      </c>
      <c r="Q258" s="2" t="s">
        <v>32</v>
      </c>
      <c r="R258" s="2" t="s">
        <v>27</v>
      </c>
      <c r="S258" s="5">
        <v>1</v>
      </c>
      <c r="T258" s="1">
        <v>0</v>
      </c>
      <c r="U258" s="2">
        <f t="shared" si="56"/>
        <v>1</v>
      </c>
      <c r="V258" s="1">
        <v>0</v>
      </c>
      <c r="W258" s="2">
        <f t="shared" si="58"/>
        <v>1</v>
      </c>
      <c r="X258" s="8">
        <f t="shared" si="57"/>
        <v>100</v>
      </c>
    </row>
    <row r="259" spans="1:24" ht="15" customHeight="1">
      <c r="A259" s="9">
        <v>46054</v>
      </c>
      <c r="B259" s="2" t="s">
        <v>45</v>
      </c>
      <c r="C259" s="2" t="s">
        <v>574</v>
      </c>
      <c r="D259" s="2" t="s">
        <v>590</v>
      </c>
      <c r="E259" s="2" t="s">
        <v>518</v>
      </c>
      <c r="F259" s="2" t="s">
        <v>575</v>
      </c>
      <c r="G259" s="2" t="s">
        <v>23</v>
      </c>
      <c r="H259" s="2" t="s">
        <v>24</v>
      </c>
      <c r="I259" s="6">
        <v>60</v>
      </c>
      <c r="J259" s="6">
        <v>24316</v>
      </c>
      <c r="K259" s="6">
        <v>584218</v>
      </c>
      <c r="L259" s="6">
        <v>608534</v>
      </c>
      <c r="M259" s="6">
        <v>0</v>
      </c>
      <c r="N259" s="6">
        <v>0</v>
      </c>
      <c r="O259" s="6">
        <v>0</v>
      </c>
      <c r="P259" s="2" t="s">
        <v>25</v>
      </c>
      <c r="Q259" s="2" t="s">
        <v>32</v>
      </c>
      <c r="R259" s="2" t="s">
        <v>27</v>
      </c>
      <c r="S259" s="5">
        <v>1</v>
      </c>
      <c r="T259" s="1">
        <v>0</v>
      </c>
      <c r="U259" s="2">
        <f>T259+S259</f>
        <v>1</v>
      </c>
      <c r="V259" s="1">
        <v>0</v>
      </c>
      <c r="W259" s="2">
        <f>V259+U259</f>
        <v>1</v>
      </c>
      <c r="X259" s="8">
        <f t="shared" si="57"/>
        <v>100</v>
      </c>
    </row>
    <row r="260" spans="1:24" ht="15" customHeight="1">
      <c r="A260" s="9">
        <v>46054</v>
      </c>
      <c r="B260" s="2" t="s">
        <v>45</v>
      </c>
      <c r="C260" s="2" t="s">
        <v>574</v>
      </c>
      <c r="D260" s="2" t="s">
        <v>591</v>
      </c>
      <c r="E260" s="2" t="s">
        <v>533</v>
      </c>
      <c r="F260" s="2" t="s">
        <v>592</v>
      </c>
      <c r="G260" s="2" t="s">
        <v>193</v>
      </c>
      <c r="H260" s="2" t="s">
        <v>24</v>
      </c>
      <c r="I260" s="6">
        <v>44.76</v>
      </c>
      <c r="J260" s="6">
        <v>1069062</v>
      </c>
      <c r="K260" s="6">
        <v>807899</v>
      </c>
      <c r="L260" s="6">
        <v>1917966</v>
      </c>
      <c r="M260" s="6">
        <v>0</v>
      </c>
      <c r="N260" s="6">
        <v>41005</v>
      </c>
      <c r="O260" s="6">
        <v>0</v>
      </c>
      <c r="P260" s="2" t="s">
        <v>25</v>
      </c>
      <c r="Q260" s="2" t="s">
        <v>32</v>
      </c>
      <c r="R260" s="2" t="s">
        <v>27</v>
      </c>
      <c r="S260" s="5">
        <v>1</v>
      </c>
      <c r="T260" s="1">
        <v>0</v>
      </c>
      <c r="U260" s="2">
        <f>T260+S260</f>
        <v>1</v>
      </c>
      <c r="V260" s="1">
        <v>0</v>
      </c>
      <c r="W260" s="2">
        <f t="shared" si="58"/>
        <v>1</v>
      </c>
      <c r="X260" s="8">
        <f t="shared" si="57"/>
        <v>100</v>
      </c>
    </row>
    <row r="261" spans="1:24" ht="15" customHeight="1">
      <c r="A261" s="9">
        <v>46054</v>
      </c>
      <c r="B261" s="2" t="s">
        <v>45</v>
      </c>
      <c r="C261" s="2" t="s">
        <v>574</v>
      </c>
      <c r="D261" s="2" t="s">
        <v>1584</v>
      </c>
      <c r="E261" s="2" t="s">
        <v>60</v>
      </c>
      <c r="F261" s="2" t="s">
        <v>1585</v>
      </c>
      <c r="G261" s="2" t="s">
        <v>23</v>
      </c>
      <c r="H261" s="2" t="s">
        <v>24</v>
      </c>
      <c r="I261" s="6">
        <v>29.84</v>
      </c>
      <c r="J261" s="6">
        <v>75020</v>
      </c>
      <c r="K261" s="6">
        <v>1066233</v>
      </c>
      <c r="L261" s="6">
        <v>1142858</v>
      </c>
      <c r="M261" s="6">
        <v>0</v>
      </c>
      <c r="N261" s="6">
        <v>1605</v>
      </c>
      <c r="O261" s="6">
        <v>0</v>
      </c>
      <c r="P261" s="2" t="s">
        <v>25</v>
      </c>
      <c r="Q261" s="2" t="s">
        <v>32</v>
      </c>
      <c r="R261" s="2" t="s">
        <v>50</v>
      </c>
      <c r="S261" s="5">
        <v>1</v>
      </c>
      <c r="T261" s="1">
        <v>0</v>
      </c>
      <c r="U261" s="2">
        <f t="shared" ref="U261:U281" si="59">T261+S261</f>
        <v>1</v>
      </c>
      <c r="V261" s="1">
        <v>0</v>
      </c>
      <c r="W261" s="2">
        <f t="shared" si="58"/>
        <v>1</v>
      </c>
      <c r="X261" s="8">
        <f t="shared" si="57"/>
        <v>100</v>
      </c>
    </row>
    <row r="262" spans="1:24" ht="15" customHeight="1">
      <c r="A262" s="9">
        <v>46054</v>
      </c>
      <c r="B262" s="2" t="s">
        <v>45</v>
      </c>
      <c r="C262" s="2" t="s">
        <v>574</v>
      </c>
      <c r="D262" s="2" t="s">
        <v>593</v>
      </c>
      <c r="E262" s="2" t="s">
        <v>594</v>
      </c>
      <c r="F262" s="2" t="s">
        <v>562</v>
      </c>
      <c r="G262" s="2"/>
      <c r="H262" s="2" t="s">
        <v>24</v>
      </c>
      <c r="I262" s="6">
        <v>38</v>
      </c>
      <c r="J262" s="6">
        <v>66692</v>
      </c>
      <c r="K262" s="6">
        <v>699763</v>
      </c>
      <c r="L262" s="6">
        <v>768423</v>
      </c>
      <c r="M262" s="6">
        <v>0</v>
      </c>
      <c r="N262" s="6">
        <v>1968</v>
      </c>
      <c r="O262" s="6">
        <v>0</v>
      </c>
      <c r="P262" s="2" t="s">
        <v>25</v>
      </c>
      <c r="Q262" s="2" t="s">
        <v>32</v>
      </c>
      <c r="R262" s="2" t="s">
        <v>27</v>
      </c>
      <c r="S262" s="5">
        <v>1</v>
      </c>
      <c r="T262" s="1">
        <v>0</v>
      </c>
      <c r="U262" s="2">
        <f t="shared" ref="U262:U266" si="60">T262+S262</f>
        <v>1</v>
      </c>
      <c r="V262" s="1">
        <v>0</v>
      </c>
      <c r="W262" s="2">
        <f t="shared" si="58"/>
        <v>1</v>
      </c>
      <c r="X262" s="8">
        <f t="shared" si="57"/>
        <v>100</v>
      </c>
    </row>
    <row r="263" spans="1:24" ht="15" customHeight="1">
      <c r="A263" s="9">
        <v>46054</v>
      </c>
      <c r="B263" s="2" t="s">
        <v>45</v>
      </c>
      <c r="C263" s="2" t="s">
        <v>574</v>
      </c>
      <c r="D263" s="2" t="s">
        <v>1458</v>
      </c>
      <c r="E263" s="2" t="s">
        <v>533</v>
      </c>
      <c r="F263" s="2" t="s">
        <v>1459</v>
      </c>
      <c r="G263" s="2" t="s">
        <v>193</v>
      </c>
      <c r="H263" s="2" t="s">
        <v>24</v>
      </c>
      <c r="I263" s="6">
        <v>44.76</v>
      </c>
      <c r="J263" s="6">
        <v>291633</v>
      </c>
      <c r="K263" s="6">
        <v>2348219</v>
      </c>
      <c r="L263" s="6">
        <v>2649878</v>
      </c>
      <c r="M263" s="6">
        <v>0</v>
      </c>
      <c r="N263" s="6">
        <v>10026</v>
      </c>
      <c r="O263" s="6">
        <v>0</v>
      </c>
      <c r="P263" s="2" t="s">
        <v>25</v>
      </c>
      <c r="Q263" s="2" t="s">
        <v>32</v>
      </c>
      <c r="R263" s="2" t="s">
        <v>27</v>
      </c>
      <c r="S263" s="5">
        <v>1</v>
      </c>
      <c r="T263" s="1">
        <v>0</v>
      </c>
      <c r="U263" s="2">
        <f t="shared" si="60"/>
        <v>1</v>
      </c>
      <c r="V263" s="1">
        <v>0</v>
      </c>
      <c r="W263" s="2">
        <f t="shared" si="58"/>
        <v>1</v>
      </c>
      <c r="X263" s="8">
        <f t="shared" si="57"/>
        <v>100</v>
      </c>
    </row>
    <row r="264" spans="1:24" ht="15" customHeight="1">
      <c r="A264" s="9">
        <v>46054</v>
      </c>
      <c r="B264" s="2" t="s">
        <v>45</v>
      </c>
      <c r="C264" s="2" t="s">
        <v>574</v>
      </c>
      <c r="D264" s="2" t="s">
        <v>595</v>
      </c>
      <c r="E264" s="2" t="s">
        <v>533</v>
      </c>
      <c r="F264" s="2" t="s">
        <v>534</v>
      </c>
      <c r="G264" s="2" t="s">
        <v>193</v>
      </c>
      <c r="H264" s="2" t="s">
        <v>320</v>
      </c>
      <c r="I264" s="6">
        <v>59.98</v>
      </c>
      <c r="J264" s="6">
        <v>0</v>
      </c>
      <c r="K264" s="6">
        <v>0</v>
      </c>
      <c r="L264" s="6">
        <v>0</v>
      </c>
      <c r="M264" s="6">
        <v>0</v>
      </c>
      <c r="N264" s="6">
        <v>0</v>
      </c>
      <c r="O264" s="6">
        <v>0</v>
      </c>
      <c r="P264" s="2" t="s">
        <v>25</v>
      </c>
      <c r="Q264" s="2" t="s">
        <v>26</v>
      </c>
      <c r="R264" s="2" t="s">
        <v>27</v>
      </c>
      <c r="S264" s="5">
        <v>0</v>
      </c>
      <c r="T264" s="1">
        <v>0</v>
      </c>
      <c r="U264" s="2">
        <f>T264+S264</f>
        <v>0</v>
      </c>
      <c r="V264" s="1">
        <v>1</v>
      </c>
      <c r="W264" s="2">
        <f t="shared" si="58"/>
        <v>1</v>
      </c>
      <c r="X264" s="8" t="e">
        <f t="shared" si="57"/>
        <v>#DIV/0!</v>
      </c>
    </row>
    <row r="265" spans="1:24" ht="15" customHeight="1">
      <c r="A265" s="9">
        <v>46054</v>
      </c>
      <c r="B265" s="2" t="s">
        <v>45</v>
      </c>
      <c r="C265" s="2" t="s">
        <v>574</v>
      </c>
      <c r="D265" s="2" t="s">
        <v>596</v>
      </c>
      <c r="E265" s="2" t="s">
        <v>597</v>
      </c>
      <c r="F265" s="2" t="s">
        <v>534</v>
      </c>
      <c r="G265" s="2" t="s">
        <v>65</v>
      </c>
      <c r="H265" s="2" t="s">
        <v>24</v>
      </c>
      <c r="I265" s="6">
        <v>36.4</v>
      </c>
      <c r="J265" s="6">
        <v>124000</v>
      </c>
      <c r="K265" s="6">
        <v>988849</v>
      </c>
      <c r="L265" s="6">
        <v>1116997</v>
      </c>
      <c r="M265" s="6">
        <v>0</v>
      </c>
      <c r="N265" s="6">
        <v>4148</v>
      </c>
      <c r="O265" s="6">
        <v>0</v>
      </c>
      <c r="P265" s="2" t="s">
        <v>25</v>
      </c>
      <c r="Q265" s="2" t="s">
        <v>32</v>
      </c>
      <c r="R265" s="2" t="s">
        <v>50</v>
      </c>
      <c r="S265" s="5">
        <v>1</v>
      </c>
      <c r="T265" s="1">
        <v>0</v>
      </c>
      <c r="U265" s="2">
        <f t="shared" si="60"/>
        <v>1</v>
      </c>
      <c r="V265" s="1">
        <v>0</v>
      </c>
      <c r="W265" s="2">
        <f t="shared" si="58"/>
        <v>1</v>
      </c>
      <c r="X265" s="8">
        <f t="shared" si="57"/>
        <v>100</v>
      </c>
    </row>
    <row r="266" spans="1:24" ht="15" customHeight="1">
      <c r="A266" s="9">
        <v>46054</v>
      </c>
      <c r="B266" s="2" t="s">
        <v>45</v>
      </c>
      <c r="C266" s="2" t="s">
        <v>574</v>
      </c>
      <c r="D266" s="2" t="s">
        <v>1460</v>
      </c>
      <c r="E266" s="2" t="s">
        <v>518</v>
      </c>
      <c r="F266" s="2" t="s">
        <v>1461</v>
      </c>
      <c r="G266" s="2" t="s">
        <v>23</v>
      </c>
      <c r="H266" s="2" t="s">
        <v>24</v>
      </c>
      <c r="I266" s="6">
        <v>36.4</v>
      </c>
      <c r="J266" s="6">
        <v>125062</v>
      </c>
      <c r="K266" s="6">
        <v>1008645</v>
      </c>
      <c r="L266" s="6">
        <v>1137942</v>
      </c>
      <c r="M266" s="6">
        <v>0</v>
      </c>
      <c r="N266" s="6">
        <v>4235</v>
      </c>
      <c r="O266" s="6">
        <v>0</v>
      </c>
      <c r="P266" s="2" t="s">
        <v>25</v>
      </c>
      <c r="Q266" s="2" t="s">
        <v>32</v>
      </c>
      <c r="R266" s="2" t="s">
        <v>27</v>
      </c>
      <c r="S266" s="5">
        <v>1</v>
      </c>
      <c r="T266" s="1">
        <v>0</v>
      </c>
      <c r="U266" s="2">
        <f t="shared" si="60"/>
        <v>1</v>
      </c>
      <c r="V266" s="1">
        <v>0</v>
      </c>
      <c r="W266" s="2">
        <f t="shared" si="58"/>
        <v>1</v>
      </c>
      <c r="X266" s="8">
        <f t="shared" si="57"/>
        <v>100</v>
      </c>
    </row>
    <row r="267" spans="1:24" ht="15" customHeight="1">
      <c r="A267" s="9">
        <v>46054</v>
      </c>
      <c r="B267" s="2" t="s">
        <v>45</v>
      </c>
      <c r="C267" s="2" t="s">
        <v>574</v>
      </c>
      <c r="D267" s="2" t="s">
        <v>598</v>
      </c>
      <c r="E267" s="2" t="s">
        <v>518</v>
      </c>
      <c r="F267" s="2" t="s">
        <v>599</v>
      </c>
      <c r="G267" s="2" t="s">
        <v>23</v>
      </c>
      <c r="H267" s="2" t="s">
        <v>24</v>
      </c>
      <c r="I267" s="6">
        <v>29.84</v>
      </c>
      <c r="J267" s="6">
        <v>0</v>
      </c>
      <c r="K267" s="6">
        <v>0</v>
      </c>
      <c r="L267" s="6">
        <v>0</v>
      </c>
      <c r="M267" s="6">
        <v>0</v>
      </c>
      <c r="N267" s="6">
        <v>0</v>
      </c>
      <c r="O267" s="6">
        <v>0</v>
      </c>
      <c r="P267" s="2" t="s">
        <v>25</v>
      </c>
      <c r="Q267" s="2" t="s">
        <v>26</v>
      </c>
      <c r="R267" s="2" t="s">
        <v>27</v>
      </c>
      <c r="S267" s="5">
        <v>0</v>
      </c>
      <c r="T267" s="1">
        <v>0</v>
      </c>
      <c r="U267" s="2">
        <f>T267+S267</f>
        <v>0</v>
      </c>
      <c r="V267" s="1">
        <v>1</v>
      </c>
      <c r="W267" s="2">
        <f t="shared" si="58"/>
        <v>1</v>
      </c>
      <c r="X267" s="8" t="e">
        <f t="shared" si="57"/>
        <v>#DIV/0!</v>
      </c>
    </row>
    <row r="268" spans="1:24" ht="15" customHeight="1">
      <c r="A268" s="9">
        <v>46054</v>
      </c>
      <c r="B268" s="2" t="s">
        <v>45</v>
      </c>
      <c r="C268" s="2" t="s">
        <v>574</v>
      </c>
      <c r="D268" s="2" t="s">
        <v>600</v>
      </c>
      <c r="E268" s="2" t="s">
        <v>326</v>
      </c>
      <c r="F268" s="2" t="s">
        <v>601</v>
      </c>
      <c r="G268" s="2" t="s">
        <v>562</v>
      </c>
      <c r="H268" s="2" t="s">
        <v>24</v>
      </c>
      <c r="I268" s="6">
        <v>30</v>
      </c>
      <c r="J268" s="6">
        <v>2923</v>
      </c>
      <c r="K268" s="6">
        <v>79309</v>
      </c>
      <c r="L268" s="6">
        <v>333534</v>
      </c>
      <c r="M268" s="6">
        <v>0</v>
      </c>
      <c r="N268" s="6">
        <v>0</v>
      </c>
      <c r="O268" s="6">
        <v>-251302</v>
      </c>
      <c r="P268" s="2" t="s">
        <v>25</v>
      </c>
      <c r="Q268" s="2" t="s">
        <v>32</v>
      </c>
      <c r="R268" s="2" t="s">
        <v>27</v>
      </c>
      <c r="S268" s="5">
        <v>1</v>
      </c>
      <c r="T268" s="1">
        <v>0</v>
      </c>
      <c r="U268" s="2">
        <f t="shared" si="59"/>
        <v>1</v>
      </c>
      <c r="V268" s="1">
        <v>0</v>
      </c>
      <c r="W268" s="2">
        <f t="shared" si="58"/>
        <v>1</v>
      </c>
      <c r="X268" s="8">
        <f t="shared" si="57"/>
        <v>100</v>
      </c>
    </row>
    <row r="269" spans="1:24" ht="15" customHeight="1">
      <c r="A269" s="9">
        <v>46054</v>
      </c>
      <c r="B269" s="2" t="s">
        <v>45</v>
      </c>
      <c r="C269" s="2" t="s">
        <v>574</v>
      </c>
      <c r="D269" s="2" t="s">
        <v>602</v>
      </c>
      <c r="E269" s="2" t="s">
        <v>518</v>
      </c>
      <c r="F269" s="2" t="s">
        <v>603</v>
      </c>
      <c r="G269" s="2" t="s">
        <v>23</v>
      </c>
      <c r="H269" s="2" t="s">
        <v>24</v>
      </c>
      <c r="I269" s="6">
        <v>44.76</v>
      </c>
      <c r="J269" s="6">
        <v>170431</v>
      </c>
      <c r="K269" s="6">
        <v>1779018</v>
      </c>
      <c r="L269" s="6">
        <v>1954859</v>
      </c>
      <c r="M269" s="6">
        <v>0</v>
      </c>
      <c r="N269" s="6">
        <v>5410</v>
      </c>
      <c r="O269" s="6">
        <v>0</v>
      </c>
      <c r="P269" s="2" t="s">
        <v>25</v>
      </c>
      <c r="Q269" s="2" t="s">
        <v>32</v>
      </c>
      <c r="R269" s="2" t="s">
        <v>27</v>
      </c>
      <c r="S269" s="5">
        <v>1</v>
      </c>
      <c r="T269" s="1">
        <v>0</v>
      </c>
      <c r="U269" s="2">
        <f t="shared" si="59"/>
        <v>1</v>
      </c>
      <c r="V269" s="1">
        <v>0</v>
      </c>
      <c r="W269" s="2">
        <f t="shared" si="58"/>
        <v>1</v>
      </c>
      <c r="X269" s="8">
        <f t="shared" si="57"/>
        <v>100</v>
      </c>
    </row>
    <row r="270" spans="1:24" ht="15" customHeight="1">
      <c r="A270" s="9">
        <v>46054</v>
      </c>
      <c r="B270" s="2" t="s">
        <v>45</v>
      </c>
      <c r="C270" s="2" t="s">
        <v>574</v>
      </c>
      <c r="D270" s="2" t="s">
        <v>604</v>
      </c>
      <c r="E270" s="2" t="s">
        <v>533</v>
      </c>
      <c r="F270" s="2" t="s">
        <v>605</v>
      </c>
      <c r="G270" s="2" t="s">
        <v>193</v>
      </c>
      <c r="H270" s="2" t="s">
        <v>24</v>
      </c>
      <c r="I270" s="6">
        <v>59.68</v>
      </c>
      <c r="J270" s="6">
        <v>237626</v>
      </c>
      <c r="K270" s="6">
        <v>2308189</v>
      </c>
      <c r="L270" s="6">
        <v>2552669</v>
      </c>
      <c r="M270" s="6">
        <v>0</v>
      </c>
      <c r="N270" s="6">
        <v>6854</v>
      </c>
      <c r="O270" s="6">
        <v>0</v>
      </c>
      <c r="P270" s="2" t="s">
        <v>25</v>
      </c>
      <c r="Q270" s="2" t="s">
        <v>32</v>
      </c>
      <c r="R270" s="2" t="s">
        <v>27</v>
      </c>
      <c r="S270" s="5">
        <v>1</v>
      </c>
      <c r="T270" s="1">
        <v>0</v>
      </c>
      <c r="U270" s="2">
        <f t="shared" si="59"/>
        <v>1</v>
      </c>
      <c r="V270" s="1">
        <v>0</v>
      </c>
      <c r="W270" s="2">
        <f t="shared" si="58"/>
        <v>1</v>
      </c>
      <c r="X270" s="8">
        <f t="shared" si="57"/>
        <v>100</v>
      </c>
    </row>
    <row r="271" spans="1:24" ht="15" customHeight="1">
      <c r="A271" s="9">
        <v>46054</v>
      </c>
      <c r="B271" s="2" t="s">
        <v>45</v>
      </c>
      <c r="C271" s="2" t="s">
        <v>574</v>
      </c>
      <c r="D271" s="2" t="s">
        <v>606</v>
      </c>
      <c r="E271" s="2" t="s">
        <v>607</v>
      </c>
      <c r="F271" s="2" t="s">
        <v>608</v>
      </c>
      <c r="G271" s="2" t="s">
        <v>609</v>
      </c>
      <c r="H271" s="2" t="s">
        <v>24</v>
      </c>
      <c r="I271" s="6">
        <v>50</v>
      </c>
      <c r="J271" s="6">
        <v>174221</v>
      </c>
      <c r="K271" s="6">
        <v>1289177</v>
      </c>
      <c r="L271" s="6">
        <v>1469260</v>
      </c>
      <c r="M271" s="6">
        <v>0</v>
      </c>
      <c r="N271" s="6">
        <v>5862</v>
      </c>
      <c r="O271" s="6">
        <v>0</v>
      </c>
      <c r="P271" s="2" t="s">
        <v>25</v>
      </c>
      <c r="Q271" s="2" t="s">
        <v>32</v>
      </c>
      <c r="R271" s="2" t="s">
        <v>50</v>
      </c>
      <c r="S271" s="5">
        <v>1</v>
      </c>
      <c r="T271" s="1">
        <v>0</v>
      </c>
      <c r="U271" s="2">
        <f t="shared" si="59"/>
        <v>1</v>
      </c>
      <c r="V271" s="1">
        <v>0</v>
      </c>
      <c r="W271" s="2">
        <f t="shared" si="58"/>
        <v>1</v>
      </c>
      <c r="X271" s="8">
        <f t="shared" si="57"/>
        <v>100</v>
      </c>
    </row>
    <row r="272" spans="1:24" ht="15" customHeight="1">
      <c r="A272" s="9">
        <v>46054</v>
      </c>
      <c r="B272" s="2" t="s">
        <v>45</v>
      </c>
      <c r="C272" s="2" t="s">
        <v>574</v>
      </c>
      <c r="D272" s="2" t="s">
        <v>610</v>
      </c>
      <c r="E272" s="2" t="s">
        <v>611</v>
      </c>
      <c r="F272" s="2" t="s">
        <v>612</v>
      </c>
      <c r="G272" s="2" t="s">
        <v>613</v>
      </c>
      <c r="H272" s="2" t="s">
        <v>24</v>
      </c>
      <c r="I272" s="6">
        <v>55</v>
      </c>
      <c r="J272" s="6">
        <v>191381</v>
      </c>
      <c r="K272" s="6">
        <v>1582932</v>
      </c>
      <c r="L272" s="6">
        <v>1780901</v>
      </c>
      <c r="M272" s="6">
        <v>0</v>
      </c>
      <c r="N272" s="6">
        <v>6588</v>
      </c>
      <c r="O272" s="6">
        <v>0</v>
      </c>
      <c r="P272" s="2" t="s">
        <v>25</v>
      </c>
      <c r="Q272" s="2" t="s">
        <v>32</v>
      </c>
      <c r="R272" s="2" t="s">
        <v>27</v>
      </c>
      <c r="S272" s="5">
        <v>1</v>
      </c>
      <c r="T272" s="1">
        <v>0</v>
      </c>
      <c r="U272" s="2">
        <f t="shared" si="59"/>
        <v>1</v>
      </c>
      <c r="V272" s="1">
        <v>0</v>
      </c>
      <c r="W272" s="2">
        <f t="shared" si="58"/>
        <v>1</v>
      </c>
      <c r="X272" s="8">
        <f t="shared" si="57"/>
        <v>100</v>
      </c>
    </row>
    <row r="273" spans="1:24" ht="15" customHeight="1">
      <c r="A273" s="9">
        <v>46054</v>
      </c>
      <c r="B273" s="2" t="s">
        <v>45</v>
      </c>
      <c r="C273" s="2" t="s">
        <v>574</v>
      </c>
      <c r="D273" s="2" t="s">
        <v>614</v>
      </c>
      <c r="E273" s="2" t="s">
        <v>60</v>
      </c>
      <c r="F273" s="2" t="s">
        <v>615</v>
      </c>
      <c r="G273" s="2" t="s">
        <v>49</v>
      </c>
      <c r="H273" s="2" t="s">
        <v>24</v>
      </c>
      <c r="I273" s="6">
        <v>29.84</v>
      </c>
      <c r="J273" s="6">
        <v>827123</v>
      </c>
      <c r="K273" s="6">
        <v>880034</v>
      </c>
      <c r="L273" s="6">
        <v>1736719</v>
      </c>
      <c r="M273" s="6">
        <v>0</v>
      </c>
      <c r="N273" s="6">
        <v>29562</v>
      </c>
      <c r="O273" s="6">
        <v>0</v>
      </c>
      <c r="P273" s="2" t="s">
        <v>25</v>
      </c>
      <c r="Q273" s="2" t="s">
        <v>32</v>
      </c>
      <c r="R273" s="2" t="s">
        <v>50</v>
      </c>
      <c r="S273" s="5">
        <v>1</v>
      </c>
      <c r="T273" s="1">
        <v>0</v>
      </c>
      <c r="U273" s="2">
        <f t="shared" si="59"/>
        <v>1</v>
      </c>
      <c r="V273" s="1">
        <v>0</v>
      </c>
      <c r="W273" s="2">
        <f t="shared" si="58"/>
        <v>1</v>
      </c>
      <c r="X273" s="8">
        <f t="shared" si="57"/>
        <v>100</v>
      </c>
    </row>
    <row r="274" spans="1:24" ht="15" customHeight="1">
      <c r="A274" s="9">
        <v>46054</v>
      </c>
      <c r="B274" s="2" t="s">
        <v>45</v>
      </c>
      <c r="C274" s="2" t="s">
        <v>574</v>
      </c>
      <c r="D274" s="2" t="s">
        <v>616</v>
      </c>
      <c r="E274" s="2" t="s">
        <v>569</v>
      </c>
      <c r="F274" s="2" t="s">
        <v>617</v>
      </c>
      <c r="G274" s="2" t="s">
        <v>571</v>
      </c>
      <c r="H274" s="2" t="s">
        <v>24</v>
      </c>
      <c r="I274" s="6">
        <v>43</v>
      </c>
      <c r="J274" s="6">
        <v>7810</v>
      </c>
      <c r="K274" s="6">
        <v>145864</v>
      </c>
      <c r="L274" s="6">
        <v>153674</v>
      </c>
      <c r="M274" s="6">
        <v>0</v>
      </c>
      <c r="N274" s="6">
        <v>0</v>
      </c>
      <c r="O274" s="6">
        <v>0</v>
      </c>
      <c r="P274" s="2" t="s">
        <v>25</v>
      </c>
      <c r="Q274" s="2" t="s">
        <v>32</v>
      </c>
      <c r="R274" s="2" t="s">
        <v>50</v>
      </c>
      <c r="S274" s="5">
        <v>1</v>
      </c>
      <c r="T274" s="1">
        <v>0</v>
      </c>
      <c r="U274" s="2">
        <f t="shared" si="59"/>
        <v>1</v>
      </c>
      <c r="V274" s="1">
        <v>0</v>
      </c>
      <c r="W274" s="2">
        <f t="shared" si="58"/>
        <v>1</v>
      </c>
      <c r="X274" s="8">
        <f t="shared" si="57"/>
        <v>100</v>
      </c>
    </row>
    <row r="275" spans="1:24" ht="15" customHeight="1">
      <c r="A275" s="9">
        <v>46054</v>
      </c>
      <c r="B275" s="2" t="s">
        <v>45</v>
      </c>
      <c r="C275" s="2" t="s">
        <v>574</v>
      </c>
      <c r="D275" s="2" t="s">
        <v>618</v>
      </c>
      <c r="E275" s="2" t="s">
        <v>72</v>
      </c>
      <c r="F275" s="2" t="s">
        <v>619</v>
      </c>
      <c r="G275" s="2" t="s">
        <v>23</v>
      </c>
      <c r="H275" s="2" t="s">
        <v>24</v>
      </c>
      <c r="I275" s="6">
        <v>37.299999999999997</v>
      </c>
      <c r="J275" s="6">
        <v>10824</v>
      </c>
      <c r="K275" s="6">
        <v>228047</v>
      </c>
      <c r="L275" s="6">
        <v>238871</v>
      </c>
      <c r="M275" s="6">
        <v>0</v>
      </c>
      <c r="N275" s="6">
        <v>0</v>
      </c>
      <c r="O275" s="6">
        <v>0</v>
      </c>
      <c r="P275" s="2" t="s">
        <v>25</v>
      </c>
      <c r="Q275" s="2" t="s">
        <v>32</v>
      </c>
      <c r="R275" s="2" t="s">
        <v>50</v>
      </c>
      <c r="S275" s="5">
        <v>0</v>
      </c>
      <c r="T275" s="1">
        <v>1</v>
      </c>
      <c r="U275" s="2">
        <f t="shared" si="59"/>
        <v>1</v>
      </c>
      <c r="V275" s="1">
        <v>0</v>
      </c>
      <c r="W275" s="2">
        <f t="shared" si="58"/>
        <v>1</v>
      </c>
      <c r="X275" s="8">
        <f t="shared" si="57"/>
        <v>0</v>
      </c>
    </row>
    <row r="276" spans="1:24" ht="15" customHeight="1">
      <c r="A276" s="9">
        <v>46054</v>
      </c>
      <c r="B276" s="2" t="s">
        <v>45</v>
      </c>
      <c r="C276" s="2" t="s">
        <v>574</v>
      </c>
      <c r="D276" s="2" t="s">
        <v>620</v>
      </c>
      <c r="E276" s="2" t="s">
        <v>621</v>
      </c>
      <c r="F276" s="2" t="s">
        <v>622</v>
      </c>
      <c r="G276" s="2" t="s">
        <v>193</v>
      </c>
      <c r="H276" s="2" t="s">
        <v>24</v>
      </c>
      <c r="I276" s="6">
        <v>30</v>
      </c>
      <c r="J276" s="6">
        <v>22843</v>
      </c>
      <c r="K276" s="6">
        <v>214809</v>
      </c>
      <c r="L276" s="6">
        <v>238584</v>
      </c>
      <c r="M276" s="6">
        <v>0</v>
      </c>
      <c r="N276" s="6">
        <v>932</v>
      </c>
      <c r="O276" s="6">
        <v>0</v>
      </c>
      <c r="P276" s="2" t="s">
        <v>25</v>
      </c>
      <c r="Q276" s="2" t="s">
        <v>32</v>
      </c>
      <c r="R276" s="2" t="s">
        <v>27</v>
      </c>
      <c r="S276" s="5">
        <v>1</v>
      </c>
      <c r="T276" s="1">
        <v>0</v>
      </c>
      <c r="U276" s="2">
        <f t="shared" si="59"/>
        <v>1</v>
      </c>
      <c r="V276" s="1">
        <v>0</v>
      </c>
      <c r="W276" s="2">
        <f t="shared" si="58"/>
        <v>1</v>
      </c>
      <c r="X276" s="8">
        <f t="shared" si="57"/>
        <v>100</v>
      </c>
    </row>
    <row r="277" spans="1:24" ht="15" customHeight="1">
      <c r="A277" s="9">
        <v>46054</v>
      </c>
      <c r="B277" s="2" t="s">
        <v>45</v>
      </c>
      <c r="C277" s="2" t="s">
        <v>574</v>
      </c>
      <c r="D277" s="2" t="s">
        <v>623</v>
      </c>
      <c r="E277" s="2" t="s">
        <v>35</v>
      </c>
      <c r="F277" s="2" t="s">
        <v>624</v>
      </c>
      <c r="G277" s="2" t="s">
        <v>625</v>
      </c>
      <c r="H277" s="2" t="s">
        <v>24</v>
      </c>
      <c r="I277" s="6">
        <v>59.68</v>
      </c>
      <c r="J277" s="6">
        <v>61831</v>
      </c>
      <c r="K277" s="6">
        <v>570164</v>
      </c>
      <c r="L277" s="6">
        <v>633957</v>
      </c>
      <c r="M277" s="6">
        <v>0</v>
      </c>
      <c r="N277" s="6">
        <v>1962</v>
      </c>
      <c r="O277" s="6">
        <v>0</v>
      </c>
      <c r="P277" s="2" t="s">
        <v>25</v>
      </c>
      <c r="Q277" s="2" t="s">
        <v>32</v>
      </c>
      <c r="R277" s="2" t="s">
        <v>27</v>
      </c>
      <c r="S277" s="5">
        <v>1</v>
      </c>
      <c r="T277" s="1">
        <v>0</v>
      </c>
      <c r="U277" s="2">
        <f t="shared" si="59"/>
        <v>1</v>
      </c>
      <c r="V277" s="1">
        <v>0</v>
      </c>
      <c r="W277" s="2">
        <f t="shared" si="58"/>
        <v>1</v>
      </c>
      <c r="X277" s="8">
        <f t="shared" si="57"/>
        <v>100</v>
      </c>
    </row>
    <row r="278" spans="1:24" ht="15" customHeight="1">
      <c r="A278" s="9">
        <v>46054</v>
      </c>
      <c r="B278" s="2" t="s">
        <v>45</v>
      </c>
      <c r="C278" s="2" t="s">
        <v>574</v>
      </c>
      <c r="D278" s="2" t="s">
        <v>1634</v>
      </c>
      <c r="E278" s="2" t="s">
        <v>1635</v>
      </c>
      <c r="F278" s="2" t="s">
        <v>1636</v>
      </c>
      <c r="G278" s="2" t="s">
        <v>659</v>
      </c>
      <c r="H278" s="2" t="s">
        <v>24</v>
      </c>
      <c r="I278" s="6">
        <v>29.84</v>
      </c>
      <c r="J278" s="6">
        <v>8121</v>
      </c>
      <c r="K278" s="6">
        <v>182111</v>
      </c>
      <c r="L278" s="6">
        <v>190218</v>
      </c>
      <c r="M278" s="6">
        <v>0</v>
      </c>
      <c r="N278" s="6">
        <v>0</v>
      </c>
      <c r="O278" s="6">
        <v>14</v>
      </c>
      <c r="P278" s="2" t="s">
        <v>25</v>
      </c>
      <c r="Q278" s="2" t="s">
        <v>32</v>
      </c>
      <c r="R278" s="2" t="s">
        <v>50</v>
      </c>
      <c r="S278" s="5">
        <v>1</v>
      </c>
      <c r="T278" s="1">
        <v>0</v>
      </c>
      <c r="U278" s="2">
        <f t="shared" si="59"/>
        <v>1</v>
      </c>
      <c r="V278" s="1">
        <v>0</v>
      </c>
      <c r="W278" s="2">
        <f t="shared" si="58"/>
        <v>1</v>
      </c>
      <c r="X278" s="8">
        <f t="shared" si="57"/>
        <v>100</v>
      </c>
    </row>
    <row r="279" spans="1:24" ht="15" customHeight="1">
      <c r="A279" s="9">
        <v>46054</v>
      </c>
      <c r="B279" s="2" t="s">
        <v>45</v>
      </c>
      <c r="C279" s="2" t="s">
        <v>574</v>
      </c>
      <c r="D279" s="2" t="s">
        <v>626</v>
      </c>
      <c r="E279" s="2" t="s">
        <v>60</v>
      </c>
      <c r="F279" s="2" t="s">
        <v>627</v>
      </c>
      <c r="G279" s="2" t="s">
        <v>23</v>
      </c>
      <c r="H279" s="2" t="s">
        <v>24</v>
      </c>
      <c r="I279" s="6">
        <v>36.799999999999997</v>
      </c>
      <c r="J279" s="6">
        <v>43596</v>
      </c>
      <c r="K279" s="6">
        <v>548660</v>
      </c>
      <c r="L279" s="6">
        <v>593248</v>
      </c>
      <c r="M279" s="6">
        <v>0</v>
      </c>
      <c r="N279" s="6">
        <v>992</v>
      </c>
      <c r="O279" s="6">
        <v>0</v>
      </c>
      <c r="P279" s="2" t="s">
        <v>25</v>
      </c>
      <c r="Q279" s="2" t="s">
        <v>32</v>
      </c>
      <c r="R279" s="2" t="s">
        <v>522</v>
      </c>
      <c r="S279" s="5">
        <v>1</v>
      </c>
      <c r="T279" s="1">
        <v>0</v>
      </c>
      <c r="U279" s="2">
        <f>T279+S279</f>
        <v>1</v>
      </c>
      <c r="V279" s="1">
        <v>0</v>
      </c>
      <c r="W279" s="2">
        <f t="shared" si="58"/>
        <v>1</v>
      </c>
      <c r="X279" s="8">
        <f t="shared" si="57"/>
        <v>100</v>
      </c>
    </row>
    <row r="280" spans="1:24" ht="15" customHeight="1">
      <c r="A280" s="9">
        <v>46054</v>
      </c>
      <c r="B280" s="2" t="s">
        <v>45</v>
      </c>
      <c r="C280" s="2" t="s">
        <v>574</v>
      </c>
      <c r="D280" s="2" t="s">
        <v>628</v>
      </c>
      <c r="E280" s="2" t="s">
        <v>60</v>
      </c>
      <c r="F280" s="2" t="s">
        <v>629</v>
      </c>
      <c r="G280" s="2" t="s">
        <v>23</v>
      </c>
      <c r="H280" s="2" t="s">
        <v>24</v>
      </c>
      <c r="I280" s="6">
        <v>29.84</v>
      </c>
      <c r="J280" s="6">
        <v>87405</v>
      </c>
      <c r="K280" s="6">
        <v>700480</v>
      </c>
      <c r="L280" s="6">
        <v>790881</v>
      </c>
      <c r="M280" s="6">
        <v>0</v>
      </c>
      <c r="N280" s="6">
        <v>2996</v>
      </c>
      <c r="O280" s="6">
        <v>0</v>
      </c>
      <c r="P280" s="2" t="s">
        <v>25</v>
      </c>
      <c r="Q280" s="2" t="s">
        <v>32</v>
      </c>
      <c r="R280" s="2" t="s">
        <v>522</v>
      </c>
      <c r="S280" s="5">
        <v>1</v>
      </c>
      <c r="T280" s="1">
        <v>0</v>
      </c>
      <c r="U280" s="2">
        <f>T280+S280</f>
        <v>1</v>
      </c>
      <c r="V280" s="1">
        <v>0</v>
      </c>
      <c r="W280" s="2">
        <f t="shared" si="58"/>
        <v>1</v>
      </c>
      <c r="X280" s="8">
        <f t="shared" si="57"/>
        <v>100</v>
      </c>
    </row>
    <row r="281" spans="1:24" ht="15" customHeight="1">
      <c r="A281" s="9">
        <v>46054</v>
      </c>
      <c r="B281" s="2" t="s">
        <v>45</v>
      </c>
      <c r="C281" s="2" t="s">
        <v>574</v>
      </c>
      <c r="D281" s="2" t="s">
        <v>630</v>
      </c>
      <c r="E281" s="2" t="s">
        <v>631</v>
      </c>
      <c r="F281" s="2" t="s">
        <v>632</v>
      </c>
      <c r="G281" s="2" t="s">
        <v>633</v>
      </c>
      <c r="H281" s="2" t="s">
        <v>24</v>
      </c>
      <c r="I281" s="6">
        <v>29.84</v>
      </c>
      <c r="J281" s="6">
        <v>0</v>
      </c>
      <c r="K281" s="6">
        <v>1180</v>
      </c>
      <c r="L281" s="6">
        <v>1180</v>
      </c>
      <c r="M281" s="6">
        <v>0</v>
      </c>
      <c r="N281" s="6">
        <v>0</v>
      </c>
      <c r="O281" s="6">
        <v>0</v>
      </c>
      <c r="P281" s="2" t="s">
        <v>31</v>
      </c>
      <c r="Q281" s="2" t="s">
        <v>32</v>
      </c>
      <c r="R281" s="2" t="s">
        <v>522</v>
      </c>
      <c r="S281" s="5">
        <v>1</v>
      </c>
      <c r="T281" s="1">
        <v>0</v>
      </c>
      <c r="U281" s="2">
        <f t="shared" si="59"/>
        <v>1</v>
      </c>
      <c r="V281" s="1">
        <v>0</v>
      </c>
      <c r="W281" s="2">
        <f t="shared" si="58"/>
        <v>1</v>
      </c>
      <c r="X281" s="8">
        <f t="shared" si="57"/>
        <v>100</v>
      </c>
    </row>
    <row r="282" spans="1:24" ht="15" customHeight="1">
      <c r="A282" s="9">
        <v>46054</v>
      </c>
      <c r="B282" s="2" t="s">
        <v>45</v>
      </c>
      <c r="C282" s="2" t="s">
        <v>574</v>
      </c>
      <c r="D282" s="2" t="s">
        <v>634</v>
      </c>
      <c r="E282" s="2" t="s">
        <v>635</v>
      </c>
      <c r="F282" s="2" t="s">
        <v>636</v>
      </c>
      <c r="G282" s="2" t="s">
        <v>490</v>
      </c>
      <c r="H282" s="2" t="s">
        <v>24</v>
      </c>
      <c r="I282" s="6">
        <v>29.84</v>
      </c>
      <c r="J282" s="6">
        <v>0</v>
      </c>
      <c r="K282" s="6">
        <v>1180</v>
      </c>
      <c r="L282" s="6">
        <v>1180</v>
      </c>
      <c r="M282" s="6">
        <v>0</v>
      </c>
      <c r="N282" s="6">
        <v>0</v>
      </c>
      <c r="O282" s="6">
        <v>0</v>
      </c>
      <c r="P282" s="2" t="s">
        <v>31</v>
      </c>
      <c r="Q282" s="2" t="s">
        <v>32</v>
      </c>
      <c r="R282" s="2" t="s">
        <v>528</v>
      </c>
      <c r="S282" s="5">
        <v>1</v>
      </c>
      <c r="T282" s="1">
        <v>0</v>
      </c>
      <c r="U282" s="2">
        <f>T282+S282</f>
        <v>1</v>
      </c>
      <c r="V282" s="1">
        <v>0</v>
      </c>
      <c r="W282" s="2">
        <f t="shared" si="58"/>
        <v>1</v>
      </c>
      <c r="X282" s="8">
        <f t="shared" si="57"/>
        <v>100</v>
      </c>
    </row>
    <row r="283" spans="1:24" ht="15" customHeight="1">
      <c r="A283" s="9">
        <v>46054</v>
      </c>
      <c r="B283" s="2" t="s">
        <v>45</v>
      </c>
      <c r="C283" s="2" t="s">
        <v>574</v>
      </c>
      <c r="D283" s="2" t="s">
        <v>637</v>
      </c>
      <c r="E283" s="2" t="s">
        <v>635</v>
      </c>
      <c r="F283" s="2" t="s">
        <v>636</v>
      </c>
      <c r="G283" s="2" t="s">
        <v>490</v>
      </c>
      <c r="H283" s="2" t="s">
        <v>24</v>
      </c>
      <c r="I283" s="6">
        <v>29.84</v>
      </c>
      <c r="J283" s="6">
        <v>0</v>
      </c>
      <c r="K283" s="6">
        <v>194731</v>
      </c>
      <c r="L283" s="6">
        <v>194731</v>
      </c>
      <c r="M283" s="6">
        <v>0</v>
      </c>
      <c r="N283" s="6">
        <v>0</v>
      </c>
      <c r="O283" s="6">
        <v>0</v>
      </c>
      <c r="P283" s="2" t="s">
        <v>31</v>
      </c>
      <c r="Q283" s="2" t="s">
        <v>32</v>
      </c>
      <c r="R283" s="2" t="s">
        <v>528</v>
      </c>
      <c r="S283" s="5">
        <v>1</v>
      </c>
      <c r="T283" s="1">
        <v>0</v>
      </c>
      <c r="U283" s="2">
        <f>T283+S283</f>
        <v>1</v>
      </c>
      <c r="V283" s="1">
        <v>0</v>
      </c>
      <c r="W283" s="2">
        <f t="shared" si="58"/>
        <v>1</v>
      </c>
      <c r="X283" s="8">
        <f t="shared" si="57"/>
        <v>100</v>
      </c>
    </row>
    <row r="284" spans="1:24" ht="15" customHeight="1">
      <c r="A284" s="9">
        <v>46054</v>
      </c>
      <c r="B284" s="2" t="s">
        <v>45</v>
      </c>
      <c r="C284" s="2" t="s">
        <v>574</v>
      </c>
      <c r="D284" s="2" t="s">
        <v>638</v>
      </c>
      <c r="E284" s="2" t="s">
        <v>639</v>
      </c>
      <c r="F284" s="2" t="s">
        <v>640</v>
      </c>
      <c r="G284" s="2" t="s">
        <v>641</v>
      </c>
      <c r="H284" s="2" t="s">
        <v>24</v>
      </c>
      <c r="I284" s="6">
        <v>29.84</v>
      </c>
      <c r="J284" s="6">
        <v>40019</v>
      </c>
      <c r="K284" s="6">
        <v>0</v>
      </c>
      <c r="L284" s="6">
        <v>0</v>
      </c>
      <c r="M284" s="6">
        <v>0</v>
      </c>
      <c r="N284" s="6">
        <v>0</v>
      </c>
      <c r="O284" s="6">
        <v>40019</v>
      </c>
      <c r="P284" s="2" t="s">
        <v>40</v>
      </c>
      <c r="Q284" s="2" t="s">
        <v>26</v>
      </c>
      <c r="R284" s="2" t="s">
        <v>522</v>
      </c>
      <c r="S284" s="5">
        <v>0</v>
      </c>
      <c r="T284" s="1">
        <v>0</v>
      </c>
      <c r="U284" s="2">
        <f>T284+S284</f>
        <v>0</v>
      </c>
      <c r="V284" s="1">
        <v>1</v>
      </c>
      <c r="W284" s="2">
        <f t="shared" si="58"/>
        <v>1</v>
      </c>
      <c r="X284" s="8" t="e">
        <f t="shared" si="57"/>
        <v>#DIV/0!</v>
      </c>
    </row>
    <row r="285" spans="1:24" ht="15" customHeight="1">
      <c r="A285" s="9">
        <v>46054</v>
      </c>
      <c r="B285" s="2" t="s">
        <v>45</v>
      </c>
      <c r="C285" s="2" t="s">
        <v>574</v>
      </c>
      <c r="D285" s="2" t="s">
        <v>642</v>
      </c>
      <c r="E285" s="2" t="s">
        <v>334</v>
      </c>
      <c r="F285" s="2" t="s">
        <v>643</v>
      </c>
      <c r="G285" s="2" t="s">
        <v>644</v>
      </c>
      <c r="H285" s="2" t="s">
        <v>24</v>
      </c>
      <c r="I285" s="6">
        <v>39.76</v>
      </c>
      <c r="J285" s="6">
        <v>98030</v>
      </c>
      <c r="K285" s="6">
        <v>1036802</v>
      </c>
      <c r="L285" s="6">
        <v>1137876</v>
      </c>
      <c r="M285" s="6">
        <v>0</v>
      </c>
      <c r="N285" s="6">
        <v>3044</v>
      </c>
      <c r="O285" s="6">
        <v>0</v>
      </c>
      <c r="P285" s="2" t="s">
        <v>25</v>
      </c>
      <c r="Q285" s="2" t="s">
        <v>32</v>
      </c>
      <c r="R285" s="2" t="s">
        <v>50</v>
      </c>
      <c r="S285" s="5">
        <v>1</v>
      </c>
      <c r="T285" s="1">
        <v>0</v>
      </c>
      <c r="U285" s="2">
        <f t="shared" ref="U285:U286" si="61">T285+S285</f>
        <v>1</v>
      </c>
      <c r="V285" s="1">
        <v>0</v>
      </c>
      <c r="W285" s="2">
        <f t="shared" si="58"/>
        <v>1</v>
      </c>
      <c r="X285" s="8">
        <f t="shared" si="57"/>
        <v>100</v>
      </c>
    </row>
    <row r="286" spans="1:24" ht="15" customHeight="1">
      <c r="A286" s="9">
        <v>46054</v>
      </c>
      <c r="B286" s="2" t="s">
        <v>45</v>
      </c>
      <c r="C286" s="2" t="s">
        <v>574</v>
      </c>
      <c r="D286" s="2" t="s">
        <v>1690</v>
      </c>
      <c r="E286" s="2" t="s">
        <v>60</v>
      </c>
      <c r="F286" s="2" t="s">
        <v>1691</v>
      </c>
      <c r="G286" s="2" t="s">
        <v>49</v>
      </c>
      <c r="H286" s="2" t="s">
        <v>24</v>
      </c>
      <c r="I286" s="6">
        <v>29.84</v>
      </c>
      <c r="J286" s="6">
        <v>4975670</v>
      </c>
      <c r="K286" s="6">
        <v>535487</v>
      </c>
      <c r="L286" s="6">
        <v>850000</v>
      </c>
      <c r="M286" s="6">
        <v>0</v>
      </c>
      <c r="N286" s="6">
        <v>43719</v>
      </c>
      <c r="O286" s="6">
        <v>4704876</v>
      </c>
      <c r="P286" s="2" t="s">
        <v>25</v>
      </c>
      <c r="Q286" s="2" t="s">
        <v>32</v>
      </c>
      <c r="R286" s="2" t="s">
        <v>50</v>
      </c>
      <c r="S286" s="5">
        <v>1</v>
      </c>
      <c r="T286" s="1">
        <v>0</v>
      </c>
      <c r="U286" s="2">
        <f t="shared" si="61"/>
        <v>1</v>
      </c>
      <c r="V286" s="1">
        <v>0</v>
      </c>
      <c r="W286" s="2">
        <f t="shared" si="58"/>
        <v>1</v>
      </c>
      <c r="X286" s="8">
        <f t="shared" si="57"/>
        <v>100</v>
      </c>
    </row>
    <row r="287" spans="1:24" ht="15" customHeight="1">
      <c r="A287" s="9">
        <v>46054</v>
      </c>
      <c r="B287" s="2" t="s">
        <v>45</v>
      </c>
      <c r="C287" s="2" t="s">
        <v>574</v>
      </c>
      <c r="D287" s="2" t="s">
        <v>1692</v>
      </c>
      <c r="E287" s="2" t="s">
        <v>60</v>
      </c>
      <c r="F287" s="2" t="s">
        <v>1693</v>
      </c>
      <c r="G287" s="2" t="s">
        <v>49</v>
      </c>
      <c r="H287" s="2" t="s">
        <v>24</v>
      </c>
      <c r="I287" s="6">
        <v>44.76</v>
      </c>
      <c r="J287" s="6">
        <v>3296217</v>
      </c>
      <c r="K287" s="6">
        <v>90042</v>
      </c>
      <c r="L287" s="6">
        <v>350000</v>
      </c>
      <c r="M287" s="6">
        <v>0</v>
      </c>
      <c r="N287" s="6">
        <v>7996</v>
      </c>
      <c r="O287" s="6">
        <v>3044255</v>
      </c>
      <c r="P287" s="2" t="s">
        <v>25</v>
      </c>
      <c r="Q287" s="2" t="s">
        <v>32</v>
      </c>
      <c r="R287" s="2" t="s">
        <v>50</v>
      </c>
      <c r="S287" s="5">
        <v>1</v>
      </c>
      <c r="T287" s="1">
        <v>0</v>
      </c>
      <c r="U287" s="2">
        <f>T287+S287</f>
        <v>1</v>
      </c>
      <c r="V287" s="1">
        <v>0</v>
      </c>
      <c r="W287" s="2">
        <f>V287+U287</f>
        <v>1</v>
      </c>
      <c r="X287" s="8">
        <f t="shared" si="57"/>
        <v>100</v>
      </c>
    </row>
    <row r="288" spans="1:24" ht="15" customHeight="1">
      <c r="A288" s="9">
        <v>46054</v>
      </c>
      <c r="B288" s="2" t="s">
        <v>95</v>
      </c>
      <c r="C288" s="2" t="s">
        <v>574</v>
      </c>
      <c r="D288" s="2" t="s">
        <v>645</v>
      </c>
      <c r="E288" s="2" t="s">
        <v>72</v>
      </c>
      <c r="F288" s="2" t="s">
        <v>646</v>
      </c>
      <c r="G288" s="2" t="s">
        <v>647</v>
      </c>
      <c r="H288" s="2" t="s">
        <v>24</v>
      </c>
      <c r="I288" s="6">
        <v>22.38</v>
      </c>
      <c r="J288" s="6">
        <v>11183</v>
      </c>
      <c r="K288" s="6">
        <v>526161</v>
      </c>
      <c r="L288" s="6">
        <v>537344</v>
      </c>
      <c r="M288" s="6">
        <v>0</v>
      </c>
      <c r="N288" s="6">
        <v>0</v>
      </c>
      <c r="O288" s="6">
        <v>0</v>
      </c>
      <c r="P288" s="2" t="s">
        <v>25</v>
      </c>
      <c r="Q288" s="2" t="s">
        <v>32</v>
      </c>
      <c r="R288" s="2" t="s">
        <v>522</v>
      </c>
      <c r="S288" s="5">
        <v>1</v>
      </c>
      <c r="T288" s="1">
        <v>0</v>
      </c>
      <c r="U288" s="2">
        <f>T288+S288</f>
        <v>1</v>
      </c>
      <c r="V288" s="1">
        <v>0</v>
      </c>
      <c r="W288" s="2">
        <f t="shared" ref="W288:W322" si="62">V288+U288</f>
        <v>1</v>
      </c>
      <c r="X288" s="8">
        <f t="shared" si="57"/>
        <v>100</v>
      </c>
    </row>
    <row r="289" spans="1:24">
      <c r="A289" s="9">
        <v>46054</v>
      </c>
      <c r="B289" s="2" t="s">
        <v>95</v>
      </c>
      <c r="C289" s="2" t="s">
        <v>574</v>
      </c>
      <c r="D289" s="2" t="s">
        <v>648</v>
      </c>
      <c r="E289" s="2" t="s">
        <v>72</v>
      </c>
      <c r="F289" s="2" t="s">
        <v>649</v>
      </c>
      <c r="G289" s="2" t="s">
        <v>23</v>
      </c>
      <c r="H289" s="2" t="s">
        <v>24</v>
      </c>
      <c r="I289" s="6">
        <v>22.38</v>
      </c>
      <c r="J289" s="6">
        <v>0</v>
      </c>
      <c r="K289" s="6">
        <v>0</v>
      </c>
      <c r="L289" s="6">
        <v>0</v>
      </c>
      <c r="M289" s="6">
        <v>0</v>
      </c>
      <c r="N289" s="6">
        <v>0</v>
      </c>
      <c r="O289" s="6">
        <v>0</v>
      </c>
      <c r="P289" s="2" t="s">
        <v>25</v>
      </c>
      <c r="Q289" s="2" t="s">
        <v>26</v>
      </c>
      <c r="R289" s="2" t="s">
        <v>522</v>
      </c>
      <c r="S289" s="5">
        <v>0</v>
      </c>
      <c r="T289" s="1">
        <v>0</v>
      </c>
      <c r="U289" s="2">
        <f t="shared" ref="U289:U290" si="63">T289+S289</f>
        <v>0</v>
      </c>
      <c r="V289" s="1">
        <v>1</v>
      </c>
      <c r="W289" s="2">
        <f t="shared" si="62"/>
        <v>1</v>
      </c>
      <c r="X289" s="8" t="e">
        <f t="shared" si="57"/>
        <v>#DIV/0!</v>
      </c>
    </row>
    <row r="290" spans="1:24">
      <c r="A290" s="9">
        <v>46054</v>
      </c>
      <c r="B290" s="2" t="s">
        <v>95</v>
      </c>
      <c r="C290" s="2" t="s">
        <v>574</v>
      </c>
      <c r="D290" s="2" t="s">
        <v>650</v>
      </c>
      <c r="E290" s="2" t="s">
        <v>651</v>
      </c>
      <c r="F290" s="2" t="s">
        <v>65</v>
      </c>
      <c r="G290" s="2" t="s">
        <v>65</v>
      </c>
      <c r="H290" s="2" t="s">
        <v>24</v>
      </c>
      <c r="I290" s="6">
        <v>24.61</v>
      </c>
      <c r="J290" s="6">
        <v>0</v>
      </c>
      <c r="K290" s="6">
        <v>0</v>
      </c>
      <c r="L290" s="6">
        <v>0</v>
      </c>
      <c r="M290" s="6">
        <v>0</v>
      </c>
      <c r="N290" s="6">
        <v>0</v>
      </c>
      <c r="O290" s="6">
        <v>0</v>
      </c>
      <c r="P290" s="2" t="s">
        <v>31</v>
      </c>
      <c r="Q290" s="2" t="s">
        <v>26</v>
      </c>
      <c r="R290" s="2" t="s">
        <v>652</v>
      </c>
      <c r="S290" s="5">
        <v>0</v>
      </c>
      <c r="T290" s="1">
        <v>0</v>
      </c>
      <c r="U290" s="2">
        <f t="shared" si="63"/>
        <v>0</v>
      </c>
      <c r="V290" s="1">
        <v>1</v>
      </c>
      <c r="W290" s="2">
        <f t="shared" si="62"/>
        <v>1</v>
      </c>
      <c r="X290" s="8" t="e">
        <f t="shared" ref="X290:X323" si="64">100/U290*S290</f>
        <v>#DIV/0!</v>
      </c>
    </row>
    <row r="291" spans="1:24" ht="15" customHeight="1">
      <c r="A291" s="9">
        <v>46054</v>
      </c>
      <c r="B291" s="2" t="s">
        <v>95</v>
      </c>
      <c r="C291" s="2" t="s">
        <v>574</v>
      </c>
      <c r="D291" s="2" t="s">
        <v>653</v>
      </c>
      <c r="E291" s="2" t="s">
        <v>518</v>
      </c>
      <c r="F291" s="2" t="s">
        <v>654</v>
      </c>
      <c r="G291" s="2" t="s">
        <v>23</v>
      </c>
      <c r="H291" s="2" t="s">
        <v>24</v>
      </c>
      <c r="I291" s="6">
        <v>14.92</v>
      </c>
      <c r="J291" s="6">
        <v>26829</v>
      </c>
      <c r="K291" s="6">
        <v>751999</v>
      </c>
      <c r="L291" s="6">
        <v>778828</v>
      </c>
      <c r="M291" s="6">
        <v>0</v>
      </c>
      <c r="N291" s="6">
        <v>0</v>
      </c>
      <c r="O291" s="6">
        <v>0</v>
      </c>
      <c r="P291" s="2" t="s">
        <v>25</v>
      </c>
      <c r="Q291" s="2" t="s">
        <v>32</v>
      </c>
      <c r="R291" s="2" t="s">
        <v>27</v>
      </c>
      <c r="S291" s="5">
        <v>1</v>
      </c>
      <c r="T291" s="1">
        <v>0</v>
      </c>
      <c r="U291" s="2">
        <f>T291+S291</f>
        <v>1</v>
      </c>
      <c r="V291" s="1">
        <v>0</v>
      </c>
      <c r="W291" s="2">
        <f t="shared" si="62"/>
        <v>1</v>
      </c>
      <c r="X291" s="8">
        <f t="shared" si="64"/>
        <v>100</v>
      </c>
    </row>
    <row r="292" spans="1:24">
      <c r="A292" s="9">
        <v>46054</v>
      </c>
      <c r="B292" s="2" t="s">
        <v>95</v>
      </c>
      <c r="C292" s="2" t="s">
        <v>574</v>
      </c>
      <c r="D292" s="2" t="s">
        <v>655</v>
      </c>
      <c r="E292" s="2" t="s">
        <v>166</v>
      </c>
      <c r="F292" s="2" t="s">
        <v>656</v>
      </c>
      <c r="G292" s="2" t="s">
        <v>562</v>
      </c>
      <c r="H292" s="2" t="s">
        <v>24</v>
      </c>
      <c r="I292" s="6">
        <v>23</v>
      </c>
      <c r="J292" s="6">
        <v>9263</v>
      </c>
      <c r="K292" s="6">
        <v>280368</v>
      </c>
      <c r="L292" s="6">
        <v>289631</v>
      </c>
      <c r="M292" s="6">
        <v>0</v>
      </c>
      <c r="N292" s="6">
        <v>0</v>
      </c>
      <c r="O292" s="6">
        <v>0</v>
      </c>
      <c r="P292" s="2" t="s">
        <v>25</v>
      </c>
      <c r="Q292" s="2" t="s">
        <v>32</v>
      </c>
      <c r="R292" s="2" t="s">
        <v>522</v>
      </c>
      <c r="S292" s="5">
        <v>1</v>
      </c>
      <c r="T292" s="1">
        <v>0</v>
      </c>
      <c r="U292" s="2">
        <f>T292+S292</f>
        <v>1</v>
      </c>
      <c r="V292" s="1">
        <v>0</v>
      </c>
      <c r="W292" s="2">
        <f>V292+U292</f>
        <v>1</v>
      </c>
      <c r="X292" s="8">
        <f t="shared" si="64"/>
        <v>100</v>
      </c>
    </row>
    <row r="293" spans="1:24" ht="15" customHeight="1">
      <c r="A293" s="9">
        <v>46054</v>
      </c>
      <c r="B293" s="2" t="s">
        <v>95</v>
      </c>
      <c r="C293" s="2" t="s">
        <v>574</v>
      </c>
      <c r="D293" s="2" t="s">
        <v>1586</v>
      </c>
      <c r="E293" s="2" t="s">
        <v>60</v>
      </c>
      <c r="F293" s="2" t="s">
        <v>1587</v>
      </c>
      <c r="G293" s="2" t="s">
        <v>1588</v>
      </c>
      <c r="H293" s="2" t="s">
        <v>24</v>
      </c>
      <c r="I293" s="6">
        <v>22.38</v>
      </c>
      <c r="J293" s="6">
        <v>-316740</v>
      </c>
      <c r="K293" s="6">
        <v>1180</v>
      </c>
      <c r="L293" s="6">
        <v>0</v>
      </c>
      <c r="M293" s="6">
        <v>0</v>
      </c>
      <c r="N293" s="6">
        <v>0</v>
      </c>
      <c r="O293" s="6">
        <v>-315560</v>
      </c>
      <c r="P293" s="2" t="s">
        <v>25</v>
      </c>
      <c r="Q293" s="2" t="s">
        <v>32</v>
      </c>
      <c r="R293" s="2" t="s">
        <v>50</v>
      </c>
      <c r="S293" s="5">
        <v>0</v>
      </c>
      <c r="T293" s="1">
        <v>1</v>
      </c>
      <c r="U293" s="2">
        <f>T293+S293</f>
        <v>1</v>
      </c>
      <c r="V293" s="1">
        <v>0</v>
      </c>
      <c r="W293" s="2">
        <f t="shared" si="62"/>
        <v>1</v>
      </c>
      <c r="X293" s="8">
        <f t="shared" si="64"/>
        <v>0</v>
      </c>
    </row>
    <row r="294" spans="1:24">
      <c r="A294" s="9">
        <v>46054</v>
      </c>
      <c r="B294" s="2" t="s">
        <v>95</v>
      </c>
      <c r="C294" s="2" t="s">
        <v>574</v>
      </c>
      <c r="D294" s="2" t="s">
        <v>1589</v>
      </c>
      <c r="E294" s="2" t="s">
        <v>60</v>
      </c>
      <c r="F294" s="2" t="s">
        <v>1590</v>
      </c>
      <c r="G294" s="2" t="s">
        <v>1591</v>
      </c>
      <c r="H294" s="2" t="s">
        <v>24</v>
      </c>
      <c r="I294" s="6">
        <v>22.38</v>
      </c>
      <c r="J294" s="6">
        <v>627493</v>
      </c>
      <c r="K294" s="6">
        <v>214822</v>
      </c>
      <c r="L294" s="6">
        <v>250000</v>
      </c>
      <c r="M294" s="6">
        <v>0</v>
      </c>
      <c r="N294" s="6">
        <v>18148</v>
      </c>
      <c r="O294" s="6">
        <v>610463</v>
      </c>
      <c r="P294" s="2" t="s">
        <v>25</v>
      </c>
      <c r="Q294" s="2" t="s">
        <v>32</v>
      </c>
      <c r="R294" s="2" t="s">
        <v>50</v>
      </c>
      <c r="S294" s="5">
        <v>1</v>
      </c>
      <c r="T294" s="1">
        <v>0</v>
      </c>
      <c r="U294" s="2">
        <f>T294+S294</f>
        <v>1</v>
      </c>
      <c r="V294" s="1">
        <v>0</v>
      </c>
      <c r="W294" s="2">
        <f t="shared" si="62"/>
        <v>1</v>
      </c>
      <c r="X294" s="8">
        <f t="shared" si="64"/>
        <v>100</v>
      </c>
    </row>
    <row r="295" spans="1:24">
      <c r="A295" s="9">
        <v>46054</v>
      </c>
      <c r="B295" s="2" t="s">
        <v>95</v>
      </c>
      <c r="C295" s="2" t="s">
        <v>574</v>
      </c>
      <c r="D295" s="2" t="s">
        <v>657</v>
      </c>
      <c r="E295" s="2" t="s">
        <v>475</v>
      </c>
      <c r="F295" s="2" t="s">
        <v>658</v>
      </c>
      <c r="G295" s="2" t="s">
        <v>659</v>
      </c>
      <c r="H295" s="2" t="s">
        <v>24</v>
      </c>
      <c r="I295" s="6">
        <v>25</v>
      </c>
      <c r="J295" s="6">
        <v>0</v>
      </c>
      <c r="K295" s="6">
        <v>0</v>
      </c>
      <c r="L295" s="6">
        <v>0</v>
      </c>
      <c r="M295" s="6">
        <v>0</v>
      </c>
      <c r="N295" s="6">
        <v>0</v>
      </c>
      <c r="O295" s="6">
        <v>0</v>
      </c>
      <c r="P295" s="2" t="s">
        <v>25</v>
      </c>
      <c r="Q295" s="2" t="s">
        <v>26</v>
      </c>
      <c r="R295" s="2" t="s">
        <v>522</v>
      </c>
      <c r="S295" s="5">
        <v>0</v>
      </c>
      <c r="T295" s="1">
        <v>0</v>
      </c>
      <c r="U295" s="2">
        <f>T295+S295</f>
        <v>0</v>
      </c>
      <c r="V295" s="1">
        <v>1</v>
      </c>
      <c r="W295" s="2">
        <f t="shared" si="62"/>
        <v>1</v>
      </c>
      <c r="X295" s="8" t="e">
        <f t="shared" si="64"/>
        <v>#DIV/0!</v>
      </c>
    </row>
    <row r="296" spans="1:24" ht="15" customHeight="1">
      <c r="A296" s="9">
        <v>46054</v>
      </c>
      <c r="B296" s="2" t="s">
        <v>95</v>
      </c>
      <c r="C296" s="2" t="s">
        <v>574</v>
      </c>
      <c r="D296" s="2" t="s">
        <v>660</v>
      </c>
      <c r="E296" s="2" t="s">
        <v>166</v>
      </c>
      <c r="F296" s="2" t="s">
        <v>661</v>
      </c>
      <c r="G296" s="2" t="s">
        <v>662</v>
      </c>
      <c r="H296" s="2" t="s">
        <v>24</v>
      </c>
      <c r="I296" s="6">
        <v>22.38</v>
      </c>
      <c r="J296" s="6">
        <v>4387</v>
      </c>
      <c r="K296" s="6">
        <v>74838</v>
      </c>
      <c r="L296" s="6">
        <v>79225</v>
      </c>
      <c r="M296" s="6">
        <v>0</v>
      </c>
      <c r="N296" s="6">
        <v>0</v>
      </c>
      <c r="O296" s="6">
        <v>0</v>
      </c>
      <c r="P296" s="2" t="s">
        <v>25</v>
      </c>
      <c r="Q296" s="2" t="s">
        <v>32</v>
      </c>
      <c r="R296" s="2" t="s">
        <v>522</v>
      </c>
      <c r="S296" s="5">
        <v>1</v>
      </c>
      <c r="T296" s="1">
        <v>0</v>
      </c>
      <c r="U296" s="2">
        <f t="shared" ref="U296:U298" si="65">T296+S296</f>
        <v>1</v>
      </c>
      <c r="V296" s="1">
        <v>0</v>
      </c>
      <c r="W296" s="2">
        <f t="shared" si="62"/>
        <v>1</v>
      </c>
      <c r="X296" s="8">
        <f t="shared" si="64"/>
        <v>100</v>
      </c>
    </row>
    <row r="297" spans="1:24" ht="15" customHeight="1">
      <c r="A297" s="9">
        <v>46054</v>
      </c>
      <c r="B297" s="2" t="s">
        <v>95</v>
      </c>
      <c r="C297" s="2" t="s">
        <v>574</v>
      </c>
      <c r="D297" s="2" t="s">
        <v>663</v>
      </c>
      <c r="E297" s="2" t="s">
        <v>475</v>
      </c>
      <c r="F297" s="2" t="s">
        <v>664</v>
      </c>
      <c r="G297" s="2" t="s">
        <v>23</v>
      </c>
      <c r="H297" s="2" t="s">
        <v>24</v>
      </c>
      <c r="I297" s="6">
        <v>22.38</v>
      </c>
      <c r="J297" s="6">
        <v>13683</v>
      </c>
      <c r="K297" s="6">
        <v>369808</v>
      </c>
      <c r="L297" s="6">
        <v>383491</v>
      </c>
      <c r="M297" s="6">
        <v>0</v>
      </c>
      <c r="N297" s="6">
        <v>0</v>
      </c>
      <c r="O297" s="6">
        <v>0</v>
      </c>
      <c r="P297" s="2" t="s">
        <v>25</v>
      </c>
      <c r="Q297" s="2" t="s">
        <v>32</v>
      </c>
      <c r="R297" s="2" t="s">
        <v>522</v>
      </c>
      <c r="S297" s="5">
        <v>1</v>
      </c>
      <c r="T297" s="1">
        <v>0</v>
      </c>
      <c r="U297" s="2">
        <f t="shared" si="65"/>
        <v>1</v>
      </c>
      <c r="V297" s="1">
        <v>0</v>
      </c>
      <c r="W297" s="2">
        <f t="shared" si="62"/>
        <v>1</v>
      </c>
      <c r="X297" s="8">
        <f t="shared" si="64"/>
        <v>100</v>
      </c>
    </row>
    <row r="298" spans="1:24" ht="15" customHeight="1">
      <c r="A298" s="9">
        <v>46054</v>
      </c>
      <c r="B298" s="2" t="s">
        <v>45</v>
      </c>
      <c r="C298" s="2" t="s">
        <v>665</v>
      </c>
      <c r="D298" s="2" t="s">
        <v>666</v>
      </c>
      <c r="E298" s="2" t="s">
        <v>117</v>
      </c>
      <c r="F298" s="2" t="s">
        <v>667</v>
      </c>
      <c r="G298" s="2" t="s">
        <v>668</v>
      </c>
      <c r="H298" s="2" t="s">
        <v>24</v>
      </c>
      <c r="I298" s="6">
        <v>59.6</v>
      </c>
      <c r="J298" s="6">
        <v>17914</v>
      </c>
      <c r="K298" s="6">
        <v>381932</v>
      </c>
      <c r="L298" s="6">
        <v>399846</v>
      </c>
      <c r="M298" s="6">
        <v>0</v>
      </c>
      <c r="N298" s="6">
        <v>0</v>
      </c>
      <c r="O298" s="6">
        <v>0</v>
      </c>
      <c r="P298" s="2" t="s">
        <v>25</v>
      </c>
      <c r="Q298" s="2" t="s">
        <v>32</v>
      </c>
      <c r="R298" s="2" t="s">
        <v>50</v>
      </c>
      <c r="S298" s="5">
        <v>1</v>
      </c>
      <c r="T298" s="1">
        <v>0</v>
      </c>
      <c r="U298" s="2">
        <f t="shared" si="65"/>
        <v>1</v>
      </c>
      <c r="V298" s="1">
        <v>0</v>
      </c>
      <c r="W298" s="2">
        <f t="shared" si="62"/>
        <v>1</v>
      </c>
      <c r="X298" s="8">
        <f t="shared" si="64"/>
        <v>100</v>
      </c>
    </row>
    <row r="299" spans="1:24">
      <c r="A299" s="9">
        <v>46054</v>
      </c>
      <c r="B299" s="2" t="s">
        <v>95</v>
      </c>
      <c r="C299" s="2" t="s">
        <v>665</v>
      </c>
      <c r="D299" s="2" t="s">
        <v>669</v>
      </c>
      <c r="E299" s="2" t="s">
        <v>475</v>
      </c>
      <c r="F299" s="2" t="s">
        <v>670</v>
      </c>
      <c r="G299" s="2" t="s">
        <v>668</v>
      </c>
      <c r="H299" s="2" t="s">
        <v>24</v>
      </c>
      <c r="I299" s="6">
        <v>11.19</v>
      </c>
      <c r="J299" s="6">
        <v>27340</v>
      </c>
      <c r="K299" s="6">
        <v>307473</v>
      </c>
      <c r="L299" s="6">
        <v>334813</v>
      </c>
      <c r="M299" s="6">
        <v>0</v>
      </c>
      <c r="N299" s="6">
        <v>0</v>
      </c>
      <c r="O299" s="6">
        <v>0</v>
      </c>
      <c r="P299" s="2" t="s">
        <v>25</v>
      </c>
      <c r="Q299" s="2" t="s">
        <v>32</v>
      </c>
      <c r="R299" s="2" t="s">
        <v>522</v>
      </c>
      <c r="S299" s="5">
        <v>1</v>
      </c>
      <c r="T299" s="1">
        <v>0</v>
      </c>
      <c r="U299" s="2">
        <f>T299+S299</f>
        <v>1</v>
      </c>
      <c r="V299" s="1">
        <v>0</v>
      </c>
      <c r="W299" s="2">
        <f t="shared" si="62"/>
        <v>1</v>
      </c>
      <c r="X299" s="8">
        <f t="shared" si="64"/>
        <v>100</v>
      </c>
    </row>
    <row r="300" spans="1:24" ht="15" customHeight="1">
      <c r="A300" s="9">
        <v>46054</v>
      </c>
      <c r="B300" s="2" t="s">
        <v>95</v>
      </c>
      <c r="C300" s="2" t="s">
        <v>665</v>
      </c>
      <c r="D300" s="2" t="s">
        <v>671</v>
      </c>
      <c r="E300" s="2" t="s">
        <v>672</v>
      </c>
      <c r="F300" s="2" t="s">
        <v>673</v>
      </c>
      <c r="G300" s="2" t="s">
        <v>668</v>
      </c>
      <c r="H300" s="2" t="s">
        <v>24</v>
      </c>
      <c r="I300" s="6">
        <v>22.38</v>
      </c>
      <c r="J300" s="6">
        <v>343137</v>
      </c>
      <c r="K300" s="6">
        <v>0</v>
      </c>
      <c r="L300" s="6">
        <v>0</v>
      </c>
      <c r="M300" s="6">
        <v>0</v>
      </c>
      <c r="N300" s="6">
        <v>0</v>
      </c>
      <c r="O300" s="6">
        <v>343137</v>
      </c>
      <c r="P300" s="2" t="s">
        <v>25</v>
      </c>
      <c r="Q300" s="2" t="s">
        <v>26</v>
      </c>
      <c r="R300" s="2" t="s">
        <v>522</v>
      </c>
      <c r="S300" s="5">
        <v>0</v>
      </c>
      <c r="T300" s="1">
        <v>0</v>
      </c>
      <c r="U300" s="2">
        <f>T300+S300</f>
        <v>0</v>
      </c>
      <c r="V300" s="1">
        <v>1</v>
      </c>
      <c r="W300" s="2">
        <f t="shared" si="62"/>
        <v>1</v>
      </c>
      <c r="X300" s="8" t="e">
        <f t="shared" si="64"/>
        <v>#DIV/0!</v>
      </c>
    </row>
    <row r="301" spans="1:24" ht="15" customHeight="1">
      <c r="A301" s="9">
        <v>46054</v>
      </c>
      <c r="B301" s="2" t="s">
        <v>95</v>
      </c>
      <c r="C301" s="2" t="s">
        <v>665</v>
      </c>
      <c r="D301" s="2" t="s">
        <v>1462</v>
      </c>
      <c r="E301" s="2" t="s">
        <v>1463</v>
      </c>
      <c r="F301" s="2" t="s">
        <v>1464</v>
      </c>
      <c r="G301" s="2" t="s">
        <v>668</v>
      </c>
      <c r="H301" s="2" t="s">
        <v>24</v>
      </c>
      <c r="I301" s="6">
        <v>11.19</v>
      </c>
      <c r="J301" s="6">
        <v>50</v>
      </c>
      <c r="K301" s="6">
        <v>1180</v>
      </c>
      <c r="L301" s="6">
        <v>1230</v>
      </c>
      <c r="M301" s="6">
        <v>0</v>
      </c>
      <c r="N301" s="6">
        <v>0</v>
      </c>
      <c r="O301" s="6">
        <v>0</v>
      </c>
      <c r="P301" s="2" t="s">
        <v>25</v>
      </c>
      <c r="Q301" s="2" t="s">
        <v>32</v>
      </c>
      <c r="R301" s="2" t="s">
        <v>522</v>
      </c>
      <c r="S301" s="5">
        <v>0</v>
      </c>
      <c r="T301" s="1">
        <v>1</v>
      </c>
      <c r="U301" s="2">
        <f>T301+S301</f>
        <v>1</v>
      </c>
      <c r="V301" s="1">
        <v>0</v>
      </c>
      <c r="W301" s="2">
        <f t="shared" si="62"/>
        <v>1</v>
      </c>
      <c r="X301" s="8">
        <f t="shared" si="64"/>
        <v>0</v>
      </c>
    </row>
    <row r="302" spans="1:24" ht="15" customHeight="1">
      <c r="A302" s="9">
        <v>46054</v>
      </c>
      <c r="B302" s="2" t="s">
        <v>18</v>
      </c>
      <c r="C302" s="2" t="s">
        <v>674</v>
      </c>
      <c r="D302" s="2" t="s">
        <v>675</v>
      </c>
      <c r="E302" s="2" t="s">
        <v>21</v>
      </c>
      <c r="F302" s="2" t="s">
        <v>676</v>
      </c>
      <c r="G302" s="2" t="s">
        <v>23</v>
      </c>
      <c r="H302" s="2" t="s">
        <v>24</v>
      </c>
      <c r="I302" s="6">
        <v>40</v>
      </c>
      <c r="J302" s="6">
        <v>0</v>
      </c>
      <c r="K302" s="6">
        <v>0</v>
      </c>
      <c r="L302" s="6">
        <v>0</v>
      </c>
      <c r="M302" s="6">
        <v>0</v>
      </c>
      <c r="N302" s="6">
        <v>0</v>
      </c>
      <c r="O302" s="6">
        <v>0</v>
      </c>
      <c r="P302" s="2" t="s">
        <v>25</v>
      </c>
      <c r="Q302" s="2" t="s">
        <v>26</v>
      </c>
      <c r="R302" s="2" t="s">
        <v>27</v>
      </c>
      <c r="S302" s="5">
        <v>0</v>
      </c>
      <c r="T302" s="1">
        <v>0</v>
      </c>
      <c r="U302" s="2">
        <f>T302+S302</f>
        <v>0</v>
      </c>
      <c r="V302" s="1">
        <v>1</v>
      </c>
      <c r="W302" s="2">
        <f t="shared" si="62"/>
        <v>1</v>
      </c>
      <c r="X302" s="8" t="e">
        <f t="shared" si="64"/>
        <v>#DIV/0!</v>
      </c>
    </row>
    <row r="303" spans="1:24" ht="15" customHeight="1">
      <c r="A303" s="9">
        <v>46054</v>
      </c>
      <c r="B303" s="2" t="s">
        <v>45</v>
      </c>
      <c r="C303" s="2" t="s">
        <v>674</v>
      </c>
      <c r="D303" s="2" t="s">
        <v>1679</v>
      </c>
      <c r="E303" s="2" t="s">
        <v>1680</v>
      </c>
      <c r="F303" s="2" t="s">
        <v>1681</v>
      </c>
      <c r="G303" s="2" t="s">
        <v>49</v>
      </c>
      <c r="H303" s="2" t="s">
        <v>24</v>
      </c>
      <c r="I303" s="6">
        <v>29.84</v>
      </c>
      <c r="J303" s="6">
        <v>1426232</v>
      </c>
      <c r="K303" s="6">
        <v>119624</v>
      </c>
      <c r="L303" s="6">
        <v>350000</v>
      </c>
      <c r="M303" s="6">
        <v>0</v>
      </c>
      <c r="N303" s="6">
        <v>25996</v>
      </c>
      <c r="O303" s="6">
        <v>1221852</v>
      </c>
      <c r="P303" s="2" t="s">
        <v>25</v>
      </c>
      <c r="Q303" s="2" t="s">
        <v>32</v>
      </c>
      <c r="R303" s="2" t="s">
        <v>50</v>
      </c>
      <c r="S303" s="5">
        <v>1</v>
      </c>
      <c r="T303" s="1">
        <v>0</v>
      </c>
      <c r="U303" s="2">
        <f t="shared" ref="U303:U322" si="66">T303+S303</f>
        <v>1</v>
      </c>
      <c r="V303" s="1">
        <v>0</v>
      </c>
      <c r="W303" s="2">
        <f t="shared" si="62"/>
        <v>1</v>
      </c>
      <c r="X303" s="8">
        <f t="shared" si="64"/>
        <v>100</v>
      </c>
    </row>
    <row r="304" spans="1:24" ht="15" customHeight="1">
      <c r="A304" s="9">
        <v>46054</v>
      </c>
      <c r="B304" s="2" t="s">
        <v>45</v>
      </c>
      <c r="C304" s="2" t="s">
        <v>674</v>
      </c>
      <c r="D304" s="2" t="s">
        <v>677</v>
      </c>
      <c r="E304" s="2" t="s">
        <v>678</v>
      </c>
      <c r="F304" s="2" t="s">
        <v>676</v>
      </c>
      <c r="G304" s="2" t="s">
        <v>23</v>
      </c>
      <c r="H304" s="2" t="s">
        <v>24</v>
      </c>
      <c r="I304" s="6">
        <v>275</v>
      </c>
      <c r="J304" s="6">
        <v>10996</v>
      </c>
      <c r="K304" s="6">
        <v>254047</v>
      </c>
      <c r="L304" s="6">
        <v>265043</v>
      </c>
      <c r="M304" s="6">
        <v>0</v>
      </c>
      <c r="N304" s="6">
        <v>0</v>
      </c>
      <c r="O304" s="6">
        <v>0</v>
      </c>
      <c r="P304" s="2" t="s">
        <v>25</v>
      </c>
      <c r="Q304" s="2" t="s">
        <v>32</v>
      </c>
      <c r="R304" s="2" t="s">
        <v>27</v>
      </c>
      <c r="S304" s="5">
        <v>1</v>
      </c>
      <c r="T304" s="1">
        <v>0</v>
      </c>
      <c r="U304" s="2">
        <f t="shared" si="66"/>
        <v>1</v>
      </c>
      <c r="V304" s="1">
        <v>0</v>
      </c>
      <c r="W304" s="2">
        <f t="shared" si="62"/>
        <v>1</v>
      </c>
      <c r="X304" s="8">
        <f t="shared" si="64"/>
        <v>100</v>
      </c>
    </row>
    <row r="305" spans="1:24" ht="15" customHeight="1">
      <c r="A305" s="9">
        <v>46054</v>
      </c>
      <c r="B305" s="2" t="s">
        <v>45</v>
      </c>
      <c r="C305" s="2" t="s">
        <v>674</v>
      </c>
      <c r="D305" s="2" t="s">
        <v>679</v>
      </c>
      <c r="E305" s="2" t="s">
        <v>1731</v>
      </c>
      <c r="F305" s="2" t="s">
        <v>680</v>
      </c>
      <c r="G305" s="2" t="s">
        <v>65</v>
      </c>
      <c r="H305" s="2" t="s">
        <v>24</v>
      </c>
      <c r="I305" s="6">
        <v>30</v>
      </c>
      <c r="J305" s="6">
        <v>77108</v>
      </c>
      <c r="K305" s="6">
        <v>565404</v>
      </c>
      <c r="L305" s="6">
        <v>645188</v>
      </c>
      <c r="M305" s="6">
        <v>0</v>
      </c>
      <c r="N305" s="6">
        <v>2676</v>
      </c>
      <c r="O305" s="6">
        <v>0</v>
      </c>
      <c r="P305" s="2" t="s">
        <v>25</v>
      </c>
      <c r="Q305" s="2" t="s">
        <v>32</v>
      </c>
      <c r="R305" s="2" t="s">
        <v>27</v>
      </c>
      <c r="S305" s="5">
        <v>1</v>
      </c>
      <c r="T305" s="1">
        <v>0</v>
      </c>
      <c r="U305" s="2">
        <f t="shared" si="66"/>
        <v>1</v>
      </c>
      <c r="V305" s="1">
        <v>0</v>
      </c>
      <c r="W305" s="2">
        <f t="shared" si="62"/>
        <v>1</v>
      </c>
      <c r="X305" s="8">
        <f t="shared" si="64"/>
        <v>100</v>
      </c>
    </row>
    <row r="306" spans="1:24" ht="15" customHeight="1">
      <c r="A306" s="9">
        <v>46054</v>
      </c>
      <c r="B306" s="2" t="s">
        <v>45</v>
      </c>
      <c r="C306" s="2" t="s">
        <v>674</v>
      </c>
      <c r="D306" s="2" t="s">
        <v>1682</v>
      </c>
      <c r="E306" s="2" t="s">
        <v>60</v>
      </c>
      <c r="F306" s="2" t="s">
        <v>1683</v>
      </c>
      <c r="G306" s="2" t="s">
        <v>1684</v>
      </c>
      <c r="H306" s="2" t="s">
        <v>24</v>
      </c>
      <c r="I306" s="6">
        <v>29.84</v>
      </c>
      <c r="J306" s="6">
        <v>263045</v>
      </c>
      <c r="K306" s="6">
        <v>51836</v>
      </c>
      <c r="L306" s="6">
        <v>0</v>
      </c>
      <c r="M306" s="6">
        <v>0</v>
      </c>
      <c r="N306" s="6">
        <v>5992</v>
      </c>
      <c r="O306" s="6">
        <v>320873</v>
      </c>
      <c r="P306" s="2" t="s">
        <v>25</v>
      </c>
      <c r="Q306" s="2" t="s">
        <v>32</v>
      </c>
      <c r="R306" s="2" t="s">
        <v>50</v>
      </c>
      <c r="S306" s="5">
        <v>1</v>
      </c>
      <c r="T306" s="1">
        <v>0</v>
      </c>
      <c r="U306" s="2">
        <f t="shared" si="66"/>
        <v>1</v>
      </c>
      <c r="V306" s="1">
        <v>0</v>
      </c>
      <c r="W306" s="2">
        <f t="shared" si="62"/>
        <v>1</v>
      </c>
      <c r="X306" s="8">
        <f t="shared" si="64"/>
        <v>100</v>
      </c>
    </row>
    <row r="307" spans="1:24" ht="15" customHeight="1">
      <c r="A307" s="9">
        <v>46054</v>
      </c>
      <c r="B307" s="2" t="s">
        <v>45</v>
      </c>
      <c r="C307" s="2" t="s">
        <v>674</v>
      </c>
      <c r="D307" s="2" t="s">
        <v>681</v>
      </c>
      <c r="E307" s="2" t="s">
        <v>682</v>
      </c>
      <c r="F307" s="2" t="s">
        <v>683</v>
      </c>
      <c r="G307" s="2" t="s">
        <v>23</v>
      </c>
      <c r="H307" s="2" t="s">
        <v>24</v>
      </c>
      <c r="I307" s="6">
        <v>29.84</v>
      </c>
      <c r="J307" s="6">
        <v>50</v>
      </c>
      <c r="K307" s="6">
        <v>1180</v>
      </c>
      <c r="L307" s="6">
        <v>1230</v>
      </c>
      <c r="M307" s="6">
        <v>0</v>
      </c>
      <c r="N307" s="6">
        <v>50</v>
      </c>
      <c r="O307" s="6">
        <v>50</v>
      </c>
      <c r="P307" s="2" t="s">
        <v>25</v>
      </c>
      <c r="Q307" s="2" t="s">
        <v>32</v>
      </c>
      <c r="R307" s="2" t="s">
        <v>50</v>
      </c>
      <c r="S307" s="5">
        <v>0</v>
      </c>
      <c r="T307" s="1">
        <v>1</v>
      </c>
      <c r="U307" s="2">
        <f t="shared" si="66"/>
        <v>1</v>
      </c>
      <c r="V307" s="1">
        <v>0</v>
      </c>
      <c r="W307" s="2">
        <f t="shared" si="62"/>
        <v>1</v>
      </c>
      <c r="X307" s="8">
        <f t="shared" si="64"/>
        <v>0</v>
      </c>
    </row>
    <row r="308" spans="1:24" ht="15" customHeight="1">
      <c r="A308" s="9">
        <v>46054</v>
      </c>
      <c r="B308" s="2" t="s">
        <v>45</v>
      </c>
      <c r="C308" s="2" t="s">
        <v>674</v>
      </c>
      <c r="D308" s="2" t="s">
        <v>684</v>
      </c>
      <c r="E308" s="2" t="s">
        <v>685</v>
      </c>
      <c r="F308" s="2" t="s">
        <v>686</v>
      </c>
      <c r="G308" s="2" t="s">
        <v>687</v>
      </c>
      <c r="H308" s="2" t="s">
        <v>24</v>
      </c>
      <c r="I308" s="6">
        <v>30</v>
      </c>
      <c r="J308" s="6">
        <v>52684</v>
      </c>
      <c r="K308" s="6">
        <v>382644</v>
      </c>
      <c r="L308" s="6">
        <v>436973</v>
      </c>
      <c r="M308" s="6">
        <v>0</v>
      </c>
      <c r="N308" s="6">
        <v>1645</v>
      </c>
      <c r="O308" s="6">
        <v>0</v>
      </c>
      <c r="P308" s="2" t="s">
        <v>25</v>
      </c>
      <c r="Q308" s="2" t="s">
        <v>32</v>
      </c>
      <c r="R308" s="2" t="s">
        <v>27</v>
      </c>
      <c r="S308" s="5">
        <v>0</v>
      </c>
      <c r="T308" s="1">
        <v>1</v>
      </c>
      <c r="U308" s="2">
        <f t="shared" si="66"/>
        <v>1</v>
      </c>
      <c r="V308" s="1">
        <v>0</v>
      </c>
      <c r="W308" s="2">
        <f t="shared" si="62"/>
        <v>1</v>
      </c>
      <c r="X308" s="8">
        <f t="shared" si="64"/>
        <v>0</v>
      </c>
    </row>
    <row r="309" spans="1:24" ht="15" customHeight="1">
      <c r="A309" s="9">
        <v>46054</v>
      </c>
      <c r="B309" s="2" t="s">
        <v>45</v>
      </c>
      <c r="C309" s="2" t="s">
        <v>674</v>
      </c>
      <c r="D309" s="2" t="s">
        <v>1645</v>
      </c>
      <c r="E309" s="2" t="s">
        <v>60</v>
      </c>
      <c r="F309" s="2" t="s">
        <v>1646</v>
      </c>
      <c r="G309" s="2" t="s">
        <v>1647</v>
      </c>
      <c r="H309" s="2" t="s">
        <v>24</v>
      </c>
      <c r="I309" s="6">
        <v>29.84</v>
      </c>
      <c r="J309" s="6">
        <v>244896</v>
      </c>
      <c r="K309" s="6">
        <v>1180</v>
      </c>
      <c r="L309" s="6">
        <v>0</v>
      </c>
      <c r="M309" s="6">
        <v>0</v>
      </c>
      <c r="N309" s="6">
        <v>150</v>
      </c>
      <c r="O309" s="6">
        <v>246226</v>
      </c>
      <c r="P309" s="2" t="s">
        <v>25</v>
      </c>
      <c r="Q309" s="2" t="s">
        <v>32</v>
      </c>
      <c r="R309" s="2" t="s">
        <v>50</v>
      </c>
      <c r="S309" s="5">
        <v>0</v>
      </c>
      <c r="T309" s="1">
        <v>1</v>
      </c>
      <c r="U309" s="2">
        <f t="shared" si="66"/>
        <v>1</v>
      </c>
      <c r="V309" s="1">
        <v>0</v>
      </c>
      <c r="W309" s="2">
        <f t="shared" si="62"/>
        <v>1</v>
      </c>
      <c r="X309" s="8">
        <f t="shared" si="64"/>
        <v>0</v>
      </c>
    </row>
    <row r="310" spans="1:24" ht="15" customHeight="1">
      <c r="A310" s="9">
        <v>46054</v>
      </c>
      <c r="B310" s="2" t="s">
        <v>45</v>
      </c>
      <c r="C310" s="2" t="s">
        <v>674</v>
      </c>
      <c r="D310" s="2" t="s">
        <v>688</v>
      </c>
      <c r="E310" s="2" t="s">
        <v>334</v>
      </c>
      <c r="F310" s="2" t="s">
        <v>689</v>
      </c>
      <c r="G310" s="2" t="s">
        <v>65</v>
      </c>
      <c r="H310" s="2" t="s">
        <v>24</v>
      </c>
      <c r="I310" s="6">
        <v>37.299999999999997</v>
      </c>
      <c r="J310" s="6">
        <v>114560.34</v>
      </c>
      <c r="K310" s="6">
        <v>168857.51</v>
      </c>
      <c r="L310" s="6">
        <v>115740</v>
      </c>
      <c r="M310" s="6">
        <v>0</v>
      </c>
      <c r="N310" s="6">
        <v>0</v>
      </c>
      <c r="O310" s="6">
        <v>167677.85</v>
      </c>
      <c r="P310" s="2" t="s">
        <v>25</v>
      </c>
      <c r="Q310" s="2" t="s">
        <v>32</v>
      </c>
      <c r="R310" s="2" t="s">
        <v>50</v>
      </c>
      <c r="S310" s="5">
        <v>0</v>
      </c>
      <c r="T310" s="1">
        <v>1</v>
      </c>
      <c r="U310" s="2">
        <f t="shared" si="66"/>
        <v>1</v>
      </c>
      <c r="V310" s="1">
        <v>0</v>
      </c>
      <c r="W310" s="2">
        <f t="shared" si="62"/>
        <v>1</v>
      </c>
      <c r="X310" s="8">
        <f t="shared" si="64"/>
        <v>0</v>
      </c>
    </row>
    <row r="311" spans="1:24" ht="15" customHeight="1">
      <c r="A311" s="9">
        <v>46054</v>
      </c>
      <c r="B311" s="2" t="s">
        <v>45</v>
      </c>
      <c r="C311" s="2" t="s">
        <v>674</v>
      </c>
      <c r="D311" s="2" t="s">
        <v>690</v>
      </c>
      <c r="E311" s="2" t="s">
        <v>691</v>
      </c>
      <c r="F311" s="2" t="s">
        <v>692</v>
      </c>
      <c r="G311" s="2" t="s">
        <v>23</v>
      </c>
      <c r="H311" s="2" t="s">
        <v>24</v>
      </c>
      <c r="I311" s="6">
        <v>30</v>
      </c>
      <c r="J311" s="6">
        <v>99682</v>
      </c>
      <c r="K311" s="6">
        <v>214338</v>
      </c>
      <c r="L311" s="6">
        <v>316995</v>
      </c>
      <c r="M311" s="6">
        <v>0</v>
      </c>
      <c r="N311" s="6">
        <v>2975</v>
      </c>
      <c r="O311" s="6">
        <v>0</v>
      </c>
      <c r="P311" s="2" t="s">
        <v>25</v>
      </c>
      <c r="Q311" s="2" t="s">
        <v>32</v>
      </c>
      <c r="R311" s="2" t="s">
        <v>27</v>
      </c>
      <c r="S311" s="5">
        <v>1</v>
      </c>
      <c r="T311" s="1">
        <v>0</v>
      </c>
      <c r="U311" s="2">
        <f t="shared" si="66"/>
        <v>1</v>
      </c>
      <c r="V311" s="1">
        <v>0</v>
      </c>
      <c r="W311" s="2">
        <f t="shared" si="62"/>
        <v>1</v>
      </c>
      <c r="X311" s="8">
        <f t="shared" si="64"/>
        <v>100</v>
      </c>
    </row>
    <row r="312" spans="1:24" ht="15" customHeight="1">
      <c r="A312" s="9">
        <v>46054</v>
      </c>
      <c r="B312" s="2" t="s">
        <v>45</v>
      </c>
      <c r="C312" s="2" t="s">
        <v>674</v>
      </c>
      <c r="D312" s="2" t="s">
        <v>693</v>
      </c>
      <c r="E312" s="2" t="s">
        <v>694</v>
      </c>
      <c r="F312" s="2" t="s">
        <v>692</v>
      </c>
      <c r="G312" s="2" t="s">
        <v>23</v>
      </c>
      <c r="H312" s="2" t="s">
        <v>24</v>
      </c>
      <c r="I312" s="6">
        <v>30</v>
      </c>
      <c r="J312" s="6">
        <v>2182</v>
      </c>
      <c r="K312" s="6">
        <v>28813</v>
      </c>
      <c r="L312" s="6">
        <v>30995</v>
      </c>
      <c r="M312" s="6">
        <v>0</v>
      </c>
      <c r="N312" s="6">
        <v>0</v>
      </c>
      <c r="O312" s="6">
        <v>0</v>
      </c>
      <c r="P312" s="2" t="s">
        <v>25</v>
      </c>
      <c r="Q312" s="2" t="s">
        <v>32</v>
      </c>
      <c r="R312" s="2" t="s">
        <v>27</v>
      </c>
      <c r="S312" s="5">
        <v>1</v>
      </c>
      <c r="T312" s="1">
        <v>0</v>
      </c>
      <c r="U312" s="2">
        <f t="shared" si="66"/>
        <v>1</v>
      </c>
      <c r="V312" s="1">
        <v>0</v>
      </c>
      <c r="W312" s="2">
        <f t="shared" si="62"/>
        <v>1</v>
      </c>
      <c r="X312" s="8">
        <f t="shared" si="64"/>
        <v>100</v>
      </c>
    </row>
    <row r="313" spans="1:24" ht="15" customHeight="1">
      <c r="A313" s="9">
        <v>46054</v>
      </c>
      <c r="B313" s="2" t="s">
        <v>45</v>
      </c>
      <c r="C313" s="2" t="s">
        <v>674</v>
      </c>
      <c r="D313" s="2" t="s">
        <v>1592</v>
      </c>
      <c r="E313" s="2" t="s">
        <v>60</v>
      </c>
      <c r="F313" s="2" t="s">
        <v>1593</v>
      </c>
      <c r="G313" s="2" t="s">
        <v>1594</v>
      </c>
      <c r="H313" s="2" t="s">
        <v>24</v>
      </c>
      <c r="I313" s="6">
        <v>29.84</v>
      </c>
      <c r="J313" s="6">
        <v>5856706</v>
      </c>
      <c r="K313" s="6">
        <v>295892</v>
      </c>
      <c r="L313" s="6">
        <v>315000</v>
      </c>
      <c r="M313" s="6">
        <v>0</v>
      </c>
      <c r="N313" s="6">
        <v>46375</v>
      </c>
      <c r="O313" s="6">
        <v>5883973</v>
      </c>
      <c r="P313" s="2" t="s">
        <v>25</v>
      </c>
      <c r="Q313" s="2" t="s">
        <v>32</v>
      </c>
      <c r="R313" s="2" t="s">
        <v>50</v>
      </c>
      <c r="S313" s="5">
        <v>1</v>
      </c>
      <c r="T313" s="1">
        <v>0</v>
      </c>
      <c r="U313" s="2">
        <f t="shared" si="66"/>
        <v>1</v>
      </c>
      <c r="V313" s="1">
        <v>0</v>
      </c>
      <c r="W313" s="2">
        <f t="shared" si="62"/>
        <v>1</v>
      </c>
      <c r="X313" s="8">
        <f t="shared" si="64"/>
        <v>100</v>
      </c>
    </row>
    <row r="314" spans="1:24" ht="15" customHeight="1">
      <c r="A314" s="9">
        <v>46054</v>
      </c>
      <c r="B314" s="2" t="s">
        <v>45</v>
      </c>
      <c r="C314" s="2" t="s">
        <v>674</v>
      </c>
      <c r="D314" s="2" t="s">
        <v>695</v>
      </c>
      <c r="E314" s="2" t="s">
        <v>72</v>
      </c>
      <c r="F314" s="2" t="s">
        <v>696</v>
      </c>
      <c r="G314" s="2" t="s">
        <v>23</v>
      </c>
      <c r="H314" s="2" t="s">
        <v>24</v>
      </c>
      <c r="I314" s="6">
        <v>29.84</v>
      </c>
      <c r="J314" s="6">
        <v>8837</v>
      </c>
      <c r="K314" s="6">
        <v>214436</v>
      </c>
      <c r="L314" s="6">
        <v>223273</v>
      </c>
      <c r="M314" s="6">
        <v>0</v>
      </c>
      <c r="N314" s="6">
        <v>0</v>
      </c>
      <c r="O314" s="6">
        <v>0</v>
      </c>
      <c r="P314" s="2" t="s">
        <v>25</v>
      </c>
      <c r="Q314" s="2" t="s">
        <v>32</v>
      </c>
      <c r="R314" s="2" t="s">
        <v>50</v>
      </c>
      <c r="S314" s="5">
        <v>1</v>
      </c>
      <c r="T314" s="1">
        <v>0</v>
      </c>
      <c r="U314" s="2">
        <f t="shared" si="66"/>
        <v>1</v>
      </c>
      <c r="V314" s="1">
        <v>0</v>
      </c>
      <c r="W314" s="2">
        <f t="shared" si="62"/>
        <v>1</v>
      </c>
      <c r="X314" s="8">
        <f t="shared" si="64"/>
        <v>100</v>
      </c>
    </row>
    <row r="315" spans="1:24" ht="15" customHeight="1">
      <c r="A315" s="9">
        <v>46054</v>
      </c>
      <c r="B315" s="2" t="s">
        <v>45</v>
      </c>
      <c r="C315" s="2" t="s">
        <v>674</v>
      </c>
      <c r="D315" s="2" t="s">
        <v>1595</v>
      </c>
      <c r="E315" s="2" t="s">
        <v>60</v>
      </c>
      <c r="F315" s="2" t="s">
        <v>1596</v>
      </c>
      <c r="G315" s="2" t="s">
        <v>1594</v>
      </c>
      <c r="H315" s="2" t="s">
        <v>24</v>
      </c>
      <c r="I315" s="6">
        <v>29.84</v>
      </c>
      <c r="J315" s="6">
        <v>1143753</v>
      </c>
      <c r="K315" s="6">
        <v>1180</v>
      </c>
      <c r="L315" s="6">
        <v>25000</v>
      </c>
      <c r="M315" s="6">
        <v>0</v>
      </c>
      <c r="N315" s="6">
        <v>150</v>
      </c>
      <c r="O315" s="6">
        <v>1120083</v>
      </c>
      <c r="P315" s="2" t="s">
        <v>25</v>
      </c>
      <c r="Q315" s="2" t="s">
        <v>32</v>
      </c>
      <c r="R315" s="2" t="s">
        <v>50</v>
      </c>
      <c r="S315" s="5">
        <v>1</v>
      </c>
      <c r="T315" s="1">
        <v>0</v>
      </c>
      <c r="U315" s="2">
        <f t="shared" si="66"/>
        <v>1</v>
      </c>
      <c r="V315" s="1">
        <v>0</v>
      </c>
      <c r="W315" s="2">
        <f t="shared" si="62"/>
        <v>1</v>
      </c>
      <c r="X315" s="8">
        <f t="shared" si="64"/>
        <v>100</v>
      </c>
    </row>
    <row r="316" spans="1:24" ht="15" customHeight="1">
      <c r="A316" s="9">
        <v>46054</v>
      </c>
      <c r="B316" s="2" t="s">
        <v>45</v>
      </c>
      <c r="C316" s="2" t="s">
        <v>674</v>
      </c>
      <c r="D316" s="2" t="s">
        <v>697</v>
      </c>
      <c r="E316" s="2" t="s">
        <v>698</v>
      </c>
      <c r="F316" s="2" t="s">
        <v>699</v>
      </c>
      <c r="G316" s="2" t="s">
        <v>23</v>
      </c>
      <c r="H316" s="2" t="s">
        <v>24</v>
      </c>
      <c r="I316" s="6">
        <v>29.84</v>
      </c>
      <c r="J316" s="6">
        <v>9829</v>
      </c>
      <c r="K316" s="6">
        <v>360061</v>
      </c>
      <c r="L316" s="6">
        <v>369890</v>
      </c>
      <c r="M316" s="6">
        <v>0</v>
      </c>
      <c r="N316" s="6">
        <v>0</v>
      </c>
      <c r="O316" s="6">
        <v>0</v>
      </c>
      <c r="P316" s="2" t="s">
        <v>25</v>
      </c>
      <c r="Q316" s="2" t="s">
        <v>32</v>
      </c>
      <c r="R316" s="2" t="s">
        <v>50</v>
      </c>
      <c r="S316" s="5">
        <v>1</v>
      </c>
      <c r="T316" s="1">
        <v>0</v>
      </c>
      <c r="U316" s="2">
        <f t="shared" si="66"/>
        <v>1</v>
      </c>
      <c r="V316" s="1">
        <v>0</v>
      </c>
      <c r="W316" s="2">
        <f t="shared" si="62"/>
        <v>1</v>
      </c>
      <c r="X316" s="8">
        <f t="shared" si="64"/>
        <v>100</v>
      </c>
    </row>
    <row r="317" spans="1:24" ht="15" customHeight="1">
      <c r="A317" s="9">
        <v>46054</v>
      </c>
      <c r="B317" s="2" t="s">
        <v>45</v>
      </c>
      <c r="C317" s="2" t="s">
        <v>674</v>
      </c>
      <c r="D317" s="2" t="s">
        <v>700</v>
      </c>
      <c r="E317" s="2" t="s">
        <v>72</v>
      </c>
      <c r="F317" s="2" t="s">
        <v>701</v>
      </c>
      <c r="G317" s="2" t="s">
        <v>702</v>
      </c>
      <c r="H317" s="2" t="s">
        <v>24</v>
      </c>
      <c r="I317" s="6">
        <v>29.84</v>
      </c>
      <c r="J317" s="6">
        <v>11908365</v>
      </c>
      <c r="K317" s="6">
        <v>205086</v>
      </c>
      <c r="L317" s="6">
        <v>350000</v>
      </c>
      <c r="M317" s="6">
        <v>0</v>
      </c>
      <c r="N317" s="6">
        <v>14688</v>
      </c>
      <c r="O317" s="6">
        <v>11778139</v>
      </c>
      <c r="P317" s="2" t="s">
        <v>25</v>
      </c>
      <c r="Q317" s="2" t="s">
        <v>32</v>
      </c>
      <c r="R317" s="2" t="s">
        <v>50</v>
      </c>
      <c r="S317" s="5">
        <v>1</v>
      </c>
      <c r="T317" s="1">
        <v>0</v>
      </c>
      <c r="U317" s="2">
        <f t="shared" si="66"/>
        <v>1</v>
      </c>
      <c r="V317" s="1">
        <v>0</v>
      </c>
      <c r="W317" s="2">
        <f t="shared" si="62"/>
        <v>1</v>
      </c>
      <c r="X317" s="8">
        <f t="shared" si="64"/>
        <v>100</v>
      </c>
    </row>
    <row r="318" spans="1:24" ht="15" customHeight="1">
      <c r="A318" s="9">
        <v>46054</v>
      </c>
      <c r="B318" s="2" t="s">
        <v>45</v>
      </c>
      <c r="C318" s="2" t="s">
        <v>674</v>
      </c>
      <c r="D318" s="2" t="s">
        <v>703</v>
      </c>
      <c r="E318" s="2" t="s">
        <v>334</v>
      </c>
      <c r="F318" s="2" t="s">
        <v>704</v>
      </c>
      <c r="G318" s="2" t="s">
        <v>65</v>
      </c>
      <c r="H318" s="2" t="s">
        <v>24</v>
      </c>
      <c r="I318" s="6">
        <v>37</v>
      </c>
      <c r="J318" s="6">
        <v>3405392</v>
      </c>
      <c r="K318" s="6">
        <v>1180</v>
      </c>
      <c r="L318" s="6">
        <v>0</v>
      </c>
      <c r="M318" s="6">
        <v>0</v>
      </c>
      <c r="N318" s="6">
        <v>150</v>
      </c>
      <c r="O318" s="6">
        <v>3406722</v>
      </c>
      <c r="P318" s="2" t="s">
        <v>25</v>
      </c>
      <c r="Q318" s="2" t="s">
        <v>32</v>
      </c>
      <c r="R318" s="2" t="s">
        <v>50</v>
      </c>
      <c r="S318" s="5">
        <v>1</v>
      </c>
      <c r="T318" s="1">
        <v>0</v>
      </c>
      <c r="U318" s="2">
        <f t="shared" si="66"/>
        <v>1</v>
      </c>
      <c r="V318" s="1">
        <v>0</v>
      </c>
      <c r="W318" s="2">
        <f t="shared" si="62"/>
        <v>1</v>
      </c>
      <c r="X318" s="8">
        <f t="shared" si="64"/>
        <v>100</v>
      </c>
    </row>
    <row r="319" spans="1:24" ht="15" customHeight="1">
      <c r="A319" s="9">
        <v>46054</v>
      </c>
      <c r="B319" s="2" t="s">
        <v>45</v>
      </c>
      <c r="C319" s="2" t="s">
        <v>674</v>
      </c>
      <c r="D319" s="2" t="s">
        <v>705</v>
      </c>
      <c r="E319" s="2" t="s">
        <v>706</v>
      </c>
      <c r="F319" s="2" t="s">
        <v>707</v>
      </c>
      <c r="G319" s="2" t="s">
        <v>490</v>
      </c>
      <c r="H319" s="2" t="s">
        <v>24</v>
      </c>
      <c r="I319" s="6">
        <v>29.84</v>
      </c>
      <c r="J319" s="6">
        <v>7466212</v>
      </c>
      <c r="K319" s="6">
        <v>290388</v>
      </c>
      <c r="L319" s="6">
        <v>0</v>
      </c>
      <c r="M319" s="6">
        <v>0</v>
      </c>
      <c r="N319" s="6">
        <v>33931</v>
      </c>
      <c r="O319" s="6">
        <v>7790531</v>
      </c>
      <c r="P319" s="2" t="s">
        <v>25</v>
      </c>
      <c r="Q319" s="2" t="s">
        <v>32</v>
      </c>
      <c r="R319" s="2" t="s">
        <v>50</v>
      </c>
      <c r="S319" s="5">
        <v>1</v>
      </c>
      <c r="T319" s="1">
        <v>0</v>
      </c>
      <c r="U319" s="2">
        <f t="shared" si="66"/>
        <v>1</v>
      </c>
      <c r="V319" s="1">
        <v>0</v>
      </c>
      <c r="W319" s="2">
        <f t="shared" si="62"/>
        <v>1</v>
      </c>
      <c r="X319" s="8">
        <f t="shared" si="64"/>
        <v>100</v>
      </c>
    </row>
    <row r="320" spans="1:24" ht="15" customHeight="1">
      <c r="A320" s="9">
        <v>46054</v>
      </c>
      <c r="B320" s="2" t="s">
        <v>45</v>
      </c>
      <c r="C320" s="2" t="s">
        <v>674</v>
      </c>
      <c r="D320" s="2" t="s">
        <v>708</v>
      </c>
      <c r="E320" s="2" t="s">
        <v>440</v>
      </c>
      <c r="F320" s="2" t="s">
        <v>709</v>
      </c>
      <c r="G320" s="2" t="s">
        <v>23</v>
      </c>
      <c r="H320" s="2" t="s">
        <v>24</v>
      </c>
      <c r="I320" s="6">
        <v>30</v>
      </c>
      <c r="J320" s="6">
        <v>76378</v>
      </c>
      <c r="K320" s="6">
        <v>587979</v>
      </c>
      <c r="L320" s="6">
        <v>666893</v>
      </c>
      <c r="M320" s="6">
        <v>0</v>
      </c>
      <c r="N320" s="6">
        <v>2536</v>
      </c>
      <c r="O320" s="6">
        <v>0</v>
      </c>
      <c r="P320" s="2" t="s">
        <v>25</v>
      </c>
      <c r="Q320" s="2" t="s">
        <v>32</v>
      </c>
      <c r="R320" s="2" t="s">
        <v>27</v>
      </c>
      <c r="S320" s="5">
        <v>1</v>
      </c>
      <c r="T320" s="1">
        <v>0</v>
      </c>
      <c r="U320" s="2">
        <f t="shared" si="66"/>
        <v>1</v>
      </c>
      <c r="V320" s="1">
        <v>0</v>
      </c>
      <c r="W320" s="2">
        <f t="shared" si="62"/>
        <v>1</v>
      </c>
      <c r="X320" s="8">
        <f t="shared" si="64"/>
        <v>100</v>
      </c>
    </row>
    <row r="321" spans="1:24" ht="15" customHeight="1">
      <c r="A321" s="9">
        <v>46054</v>
      </c>
      <c r="B321" s="2" t="s">
        <v>45</v>
      </c>
      <c r="C321" s="2" t="s">
        <v>674</v>
      </c>
      <c r="D321" s="2" t="s">
        <v>1664</v>
      </c>
      <c r="E321" s="2" t="s">
        <v>60</v>
      </c>
      <c r="F321" s="2" t="s">
        <v>1665</v>
      </c>
      <c r="G321" s="2" t="s">
        <v>490</v>
      </c>
      <c r="H321" s="2" t="s">
        <v>24</v>
      </c>
      <c r="I321" s="6">
        <v>29.84</v>
      </c>
      <c r="J321" s="6">
        <v>4273620</v>
      </c>
      <c r="K321" s="6">
        <v>1180</v>
      </c>
      <c r="L321" s="6">
        <v>0</v>
      </c>
      <c r="M321" s="6">
        <v>0</v>
      </c>
      <c r="N321" s="6">
        <v>150</v>
      </c>
      <c r="O321" s="6">
        <v>4274950</v>
      </c>
      <c r="P321" s="2" t="s">
        <v>25</v>
      </c>
      <c r="Q321" s="2" t="s">
        <v>32</v>
      </c>
      <c r="R321" s="2" t="s">
        <v>50</v>
      </c>
      <c r="S321" s="5">
        <v>1</v>
      </c>
      <c r="T321" s="1">
        <v>0</v>
      </c>
      <c r="U321" s="2">
        <f t="shared" si="66"/>
        <v>1</v>
      </c>
      <c r="V321" s="1">
        <v>0</v>
      </c>
      <c r="W321" s="2">
        <f t="shared" si="62"/>
        <v>1</v>
      </c>
      <c r="X321" s="8">
        <f t="shared" si="64"/>
        <v>100</v>
      </c>
    </row>
    <row r="322" spans="1:24" ht="15" customHeight="1">
      <c r="A322" s="9">
        <v>46054</v>
      </c>
      <c r="B322" s="2" t="s">
        <v>45</v>
      </c>
      <c r="C322" s="2" t="s">
        <v>674</v>
      </c>
      <c r="D322" s="2" t="s">
        <v>710</v>
      </c>
      <c r="E322" s="2" t="s">
        <v>60</v>
      </c>
      <c r="F322" s="2" t="s">
        <v>711</v>
      </c>
      <c r="G322" s="2" t="s">
        <v>490</v>
      </c>
      <c r="H322" s="2" t="s">
        <v>24</v>
      </c>
      <c r="I322" s="6">
        <v>29.84</v>
      </c>
      <c r="J322" s="6">
        <v>41831</v>
      </c>
      <c r="K322" s="6">
        <v>326580</v>
      </c>
      <c r="L322" s="6">
        <v>369706</v>
      </c>
      <c r="M322" s="6">
        <v>0</v>
      </c>
      <c r="N322" s="6">
        <v>1295</v>
      </c>
      <c r="O322" s="6">
        <v>0</v>
      </c>
      <c r="P322" s="2" t="s">
        <v>25</v>
      </c>
      <c r="Q322" s="2" t="s">
        <v>32</v>
      </c>
      <c r="R322" s="2" t="s">
        <v>50</v>
      </c>
      <c r="S322" s="5">
        <v>1</v>
      </c>
      <c r="T322" s="1">
        <v>0</v>
      </c>
      <c r="U322" s="2">
        <f t="shared" si="66"/>
        <v>1</v>
      </c>
      <c r="V322" s="1">
        <v>0</v>
      </c>
      <c r="W322" s="2">
        <f t="shared" si="62"/>
        <v>1</v>
      </c>
      <c r="X322" s="8">
        <f t="shared" si="64"/>
        <v>100</v>
      </c>
    </row>
    <row r="323" spans="1:24" ht="15" customHeight="1">
      <c r="A323" s="9">
        <v>46054</v>
      </c>
      <c r="B323" s="2" t="s">
        <v>45</v>
      </c>
      <c r="C323" s="2" t="s">
        <v>674</v>
      </c>
      <c r="D323" s="2" t="s">
        <v>712</v>
      </c>
      <c r="E323" s="2" t="s">
        <v>713</v>
      </c>
      <c r="F323" s="2" t="s">
        <v>714</v>
      </c>
      <c r="G323" s="2" t="s">
        <v>562</v>
      </c>
      <c r="H323" s="2" t="s">
        <v>24</v>
      </c>
      <c r="I323" s="6">
        <v>29.84</v>
      </c>
      <c r="J323" s="6">
        <v>49</v>
      </c>
      <c r="K323" s="6">
        <v>1180</v>
      </c>
      <c r="L323" s="6">
        <v>1229</v>
      </c>
      <c r="M323" s="6">
        <v>0</v>
      </c>
      <c r="N323" s="6">
        <v>50</v>
      </c>
      <c r="O323" s="6">
        <v>50</v>
      </c>
      <c r="P323" s="2" t="s">
        <v>25</v>
      </c>
      <c r="Q323" s="2" t="s">
        <v>32</v>
      </c>
      <c r="R323" s="2" t="s">
        <v>50</v>
      </c>
      <c r="S323" s="5">
        <v>0</v>
      </c>
      <c r="T323" s="1">
        <v>1</v>
      </c>
      <c r="U323" s="2">
        <f>T323+S323</f>
        <v>1</v>
      </c>
      <c r="V323" s="1">
        <v>0</v>
      </c>
      <c r="W323" s="2">
        <f>V323+U323</f>
        <v>1</v>
      </c>
      <c r="X323" s="8">
        <f t="shared" si="64"/>
        <v>0</v>
      </c>
    </row>
    <row r="324" spans="1:24" ht="15" customHeight="1">
      <c r="A324" s="9">
        <v>46054</v>
      </c>
      <c r="B324" s="2" t="s">
        <v>45</v>
      </c>
      <c r="C324" s="2" t="s">
        <v>674</v>
      </c>
      <c r="D324" s="2" t="s">
        <v>715</v>
      </c>
      <c r="E324" s="2" t="s">
        <v>72</v>
      </c>
      <c r="F324" s="2" t="s">
        <v>716</v>
      </c>
      <c r="G324" s="2" t="s">
        <v>562</v>
      </c>
      <c r="H324" s="2" t="s">
        <v>24</v>
      </c>
      <c r="I324" s="6">
        <v>30</v>
      </c>
      <c r="J324" s="6">
        <v>53428</v>
      </c>
      <c r="K324" s="6">
        <v>374152</v>
      </c>
      <c r="L324" s="6">
        <v>429200</v>
      </c>
      <c r="M324" s="6">
        <v>0</v>
      </c>
      <c r="N324" s="6">
        <v>1620</v>
      </c>
      <c r="O324" s="6">
        <v>0</v>
      </c>
      <c r="P324" s="2" t="s">
        <v>25</v>
      </c>
      <c r="Q324" s="2" t="s">
        <v>32</v>
      </c>
      <c r="R324" s="2" t="s">
        <v>27</v>
      </c>
      <c r="S324" s="5">
        <v>1</v>
      </c>
      <c r="T324" s="1">
        <v>0</v>
      </c>
      <c r="U324" s="2">
        <f t="shared" ref="U324:U355" si="67">T324+S324</f>
        <v>1</v>
      </c>
      <c r="V324" s="1">
        <v>0</v>
      </c>
      <c r="W324" s="2">
        <f t="shared" ref="W324:W355" si="68">V324+U324</f>
        <v>1</v>
      </c>
      <c r="X324" s="8">
        <f t="shared" ref="X324:X356" si="69">100/U324*S324</f>
        <v>100</v>
      </c>
    </row>
    <row r="325" spans="1:24" ht="15" customHeight="1">
      <c r="A325" s="9">
        <v>46054</v>
      </c>
      <c r="B325" s="2" t="s">
        <v>45</v>
      </c>
      <c r="C325" s="2" t="s">
        <v>674</v>
      </c>
      <c r="D325" s="2" t="s">
        <v>717</v>
      </c>
      <c r="E325" s="2" t="s">
        <v>221</v>
      </c>
      <c r="F325" s="2" t="s">
        <v>718</v>
      </c>
      <c r="G325" s="2" t="s">
        <v>23</v>
      </c>
      <c r="H325" s="2" t="s">
        <v>24</v>
      </c>
      <c r="I325" s="6">
        <v>30</v>
      </c>
      <c r="J325" s="6">
        <v>4500</v>
      </c>
      <c r="K325" s="6">
        <v>121603</v>
      </c>
      <c r="L325" s="6">
        <v>126103</v>
      </c>
      <c r="M325" s="6">
        <v>0</v>
      </c>
      <c r="N325" s="6">
        <v>0</v>
      </c>
      <c r="O325" s="6">
        <v>0</v>
      </c>
      <c r="P325" s="2" t="s">
        <v>25</v>
      </c>
      <c r="Q325" s="2" t="s">
        <v>32</v>
      </c>
      <c r="R325" s="2" t="s">
        <v>27</v>
      </c>
      <c r="S325" s="5">
        <v>1</v>
      </c>
      <c r="T325" s="1">
        <v>0</v>
      </c>
      <c r="U325" s="2">
        <f>T325+S325</f>
        <v>1</v>
      </c>
      <c r="V325" s="1">
        <v>0</v>
      </c>
      <c r="W325" s="2">
        <f t="shared" si="68"/>
        <v>1</v>
      </c>
      <c r="X325" s="8">
        <f t="shared" si="69"/>
        <v>100</v>
      </c>
    </row>
    <row r="326" spans="1:24">
      <c r="A326" s="9">
        <v>46054</v>
      </c>
      <c r="B326" s="2" t="s">
        <v>45</v>
      </c>
      <c r="C326" s="2" t="s">
        <v>674</v>
      </c>
      <c r="D326" s="2" t="s">
        <v>719</v>
      </c>
      <c r="E326" s="2" t="s">
        <v>221</v>
      </c>
      <c r="F326" s="2" t="s">
        <v>720</v>
      </c>
      <c r="G326" s="2" t="s">
        <v>23</v>
      </c>
      <c r="H326" s="2" t="s">
        <v>24</v>
      </c>
      <c r="I326" s="6">
        <v>40</v>
      </c>
      <c r="J326" s="6">
        <v>5444</v>
      </c>
      <c r="K326" s="6">
        <v>206444</v>
      </c>
      <c r="L326" s="6">
        <v>211888</v>
      </c>
      <c r="M326" s="6">
        <v>0</v>
      </c>
      <c r="N326" s="6">
        <v>0</v>
      </c>
      <c r="O326" s="6">
        <v>0</v>
      </c>
      <c r="P326" s="2" t="s">
        <v>25</v>
      </c>
      <c r="Q326" s="2" t="s">
        <v>32</v>
      </c>
      <c r="R326" s="2" t="s">
        <v>27</v>
      </c>
      <c r="S326" s="5">
        <v>1</v>
      </c>
      <c r="T326" s="1">
        <v>0</v>
      </c>
      <c r="U326" s="2">
        <f t="shared" si="67"/>
        <v>1</v>
      </c>
      <c r="V326" s="1">
        <v>0</v>
      </c>
      <c r="W326" s="2">
        <f t="shared" si="68"/>
        <v>1</v>
      </c>
      <c r="X326" s="8">
        <f t="shared" si="69"/>
        <v>100</v>
      </c>
    </row>
    <row r="327" spans="1:24">
      <c r="A327" s="9">
        <v>46054</v>
      </c>
      <c r="B327" s="2" t="s">
        <v>95</v>
      </c>
      <c r="C327" s="2" t="s">
        <v>674</v>
      </c>
      <c r="D327" s="2" t="s">
        <v>721</v>
      </c>
      <c r="E327" s="2" t="s">
        <v>722</v>
      </c>
      <c r="F327" s="2" t="s">
        <v>723</v>
      </c>
      <c r="G327" s="2" t="s">
        <v>724</v>
      </c>
      <c r="H327" s="2" t="s">
        <v>24</v>
      </c>
      <c r="I327" s="6">
        <v>22.03</v>
      </c>
      <c r="J327" s="6">
        <v>18719</v>
      </c>
      <c r="K327" s="6">
        <v>523170</v>
      </c>
      <c r="L327" s="6">
        <v>541889</v>
      </c>
      <c r="M327" s="6">
        <v>0</v>
      </c>
      <c r="N327" s="6">
        <v>0</v>
      </c>
      <c r="O327" s="6">
        <v>0</v>
      </c>
      <c r="P327" s="2" t="s">
        <v>25</v>
      </c>
      <c r="Q327" s="2" t="s">
        <v>32</v>
      </c>
      <c r="R327" s="2" t="s">
        <v>522</v>
      </c>
      <c r="S327" s="5">
        <v>1</v>
      </c>
      <c r="T327" s="1">
        <v>0</v>
      </c>
      <c r="U327" s="2">
        <f t="shared" si="67"/>
        <v>1</v>
      </c>
      <c r="V327" s="1">
        <v>0</v>
      </c>
      <c r="W327" s="2">
        <f t="shared" si="68"/>
        <v>1</v>
      </c>
      <c r="X327" s="8">
        <f t="shared" si="69"/>
        <v>100</v>
      </c>
    </row>
    <row r="328" spans="1:24">
      <c r="A328" s="9">
        <v>46054</v>
      </c>
      <c r="B328" s="2" t="s">
        <v>95</v>
      </c>
      <c r="C328" s="2" t="s">
        <v>674</v>
      </c>
      <c r="D328" s="2" t="s">
        <v>725</v>
      </c>
      <c r="E328" s="2" t="s">
        <v>726</v>
      </c>
      <c r="F328" s="2" t="s">
        <v>727</v>
      </c>
      <c r="G328" s="2" t="s">
        <v>65</v>
      </c>
      <c r="H328" s="2" t="s">
        <v>24</v>
      </c>
      <c r="I328" s="6">
        <v>14.92</v>
      </c>
      <c r="J328" s="6">
        <v>545634</v>
      </c>
      <c r="K328" s="6">
        <v>326506</v>
      </c>
      <c r="L328" s="6">
        <v>350000</v>
      </c>
      <c r="M328" s="6">
        <v>0</v>
      </c>
      <c r="N328" s="6">
        <v>23491</v>
      </c>
      <c r="O328" s="6">
        <v>545631</v>
      </c>
      <c r="P328" s="2" t="s">
        <v>25</v>
      </c>
      <c r="Q328" s="2" t="s">
        <v>32</v>
      </c>
      <c r="R328" s="2" t="s">
        <v>50</v>
      </c>
      <c r="S328" s="5">
        <v>1</v>
      </c>
      <c r="T328" s="1">
        <v>0</v>
      </c>
      <c r="U328" s="2">
        <f t="shared" si="67"/>
        <v>1</v>
      </c>
      <c r="V328" s="1">
        <v>0</v>
      </c>
      <c r="W328" s="2">
        <f t="shared" si="68"/>
        <v>1</v>
      </c>
      <c r="X328" s="8">
        <f t="shared" si="69"/>
        <v>100</v>
      </c>
    </row>
    <row r="329" spans="1:24" ht="15" customHeight="1">
      <c r="A329" s="9">
        <v>46054</v>
      </c>
      <c r="B329" s="2" t="s">
        <v>95</v>
      </c>
      <c r="C329" s="2" t="s">
        <v>674</v>
      </c>
      <c r="D329" s="2" t="s">
        <v>728</v>
      </c>
      <c r="E329" s="2" t="s">
        <v>68</v>
      </c>
      <c r="F329" s="2" t="s">
        <v>729</v>
      </c>
      <c r="G329" s="2"/>
      <c r="H329" s="2" t="s">
        <v>24</v>
      </c>
      <c r="I329" s="6">
        <v>18.649999999999999</v>
      </c>
      <c r="J329" s="6">
        <v>11192</v>
      </c>
      <c r="K329" s="6">
        <v>207660</v>
      </c>
      <c r="L329" s="6">
        <v>218852</v>
      </c>
      <c r="M329" s="6">
        <v>0</v>
      </c>
      <c r="N329" s="6">
        <v>0</v>
      </c>
      <c r="O329" s="6">
        <v>0</v>
      </c>
      <c r="P329" s="2" t="s">
        <v>25</v>
      </c>
      <c r="Q329" s="2" t="s">
        <v>32</v>
      </c>
      <c r="R329" s="2" t="s">
        <v>522</v>
      </c>
      <c r="S329" s="5">
        <v>1</v>
      </c>
      <c r="T329" s="1">
        <v>0</v>
      </c>
      <c r="U329" s="2">
        <f>T329+S329</f>
        <v>1</v>
      </c>
      <c r="V329" s="1">
        <v>0</v>
      </c>
      <c r="W329" s="2">
        <f t="shared" si="68"/>
        <v>1</v>
      </c>
      <c r="X329" s="8">
        <f t="shared" si="69"/>
        <v>100</v>
      </c>
    </row>
    <row r="330" spans="1:24">
      <c r="A330" s="9">
        <v>46054</v>
      </c>
      <c r="B330" s="2" t="s">
        <v>95</v>
      </c>
      <c r="C330" s="2" t="s">
        <v>674</v>
      </c>
      <c r="D330" s="2" t="s">
        <v>730</v>
      </c>
      <c r="E330" s="2" t="s">
        <v>151</v>
      </c>
      <c r="F330" s="2" t="s">
        <v>731</v>
      </c>
      <c r="G330" s="2" t="s">
        <v>23</v>
      </c>
      <c r="H330" s="2" t="s">
        <v>24</v>
      </c>
      <c r="I330" s="6">
        <v>22.38</v>
      </c>
      <c r="J330" s="6">
        <v>3337</v>
      </c>
      <c r="K330" s="6">
        <v>444266</v>
      </c>
      <c r="L330" s="6">
        <v>447603</v>
      </c>
      <c r="M330" s="6">
        <v>0</v>
      </c>
      <c r="N330" s="6">
        <v>0</v>
      </c>
      <c r="O330" s="6">
        <v>0</v>
      </c>
      <c r="P330" s="2" t="s">
        <v>25</v>
      </c>
      <c r="Q330" s="2" t="s">
        <v>32</v>
      </c>
      <c r="R330" s="2" t="s">
        <v>522</v>
      </c>
      <c r="S330" s="5">
        <v>1</v>
      </c>
      <c r="T330" s="1">
        <v>0</v>
      </c>
      <c r="U330" s="2">
        <f>T330+S330</f>
        <v>1</v>
      </c>
      <c r="V330" s="1">
        <v>0</v>
      </c>
      <c r="W330" s="2">
        <f>V330+U330</f>
        <v>1</v>
      </c>
      <c r="X330" s="8">
        <f t="shared" si="69"/>
        <v>100</v>
      </c>
    </row>
    <row r="331" spans="1:24">
      <c r="A331" s="9">
        <v>46054</v>
      </c>
      <c r="B331" s="2" t="s">
        <v>95</v>
      </c>
      <c r="C331" s="2" t="s">
        <v>674</v>
      </c>
      <c r="D331" s="2" t="s">
        <v>732</v>
      </c>
      <c r="E331" s="2" t="s">
        <v>733</v>
      </c>
      <c r="F331" s="2" t="s">
        <v>734</v>
      </c>
      <c r="G331" s="2" t="s">
        <v>562</v>
      </c>
      <c r="H331" s="2" t="s">
        <v>24</v>
      </c>
      <c r="I331" s="6">
        <v>23</v>
      </c>
      <c r="J331" s="6">
        <v>50</v>
      </c>
      <c r="K331" s="6">
        <v>1180</v>
      </c>
      <c r="L331" s="6">
        <v>1230</v>
      </c>
      <c r="M331" s="6">
        <v>0</v>
      </c>
      <c r="N331" s="6">
        <v>0</v>
      </c>
      <c r="O331" s="6">
        <v>0</v>
      </c>
      <c r="P331" s="2" t="s">
        <v>25</v>
      </c>
      <c r="Q331" s="2" t="s">
        <v>32</v>
      </c>
      <c r="R331" s="2" t="s">
        <v>522</v>
      </c>
      <c r="S331" s="5">
        <v>1</v>
      </c>
      <c r="T331" s="1">
        <v>0</v>
      </c>
      <c r="U331" s="2">
        <f>T331+S331</f>
        <v>1</v>
      </c>
      <c r="V331" s="1">
        <v>0</v>
      </c>
      <c r="W331" s="2">
        <f t="shared" si="68"/>
        <v>1</v>
      </c>
      <c r="X331" s="8">
        <f t="shared" si="69"/>
        <v>100</v>
      </c>
    </row>
    <row r="332" spans="1:24">
      <c r="A332" s="9">
        <v>46054</v>
      </c>
      <c r="B332" s="2" t="s">
        <v>95</v>
      </c>
      <c r="C332" s="2" t="s">
        <v>674</v>
      </c>
      <c r="D332" s="2" t="s">
        <v>735</v>
      </c>
      <c r="E332" s="2" t="s">
        <v>221</v>
      </c>
      <c r="F332" s="2" t="s">
        <v>736</v>
      </c>
      <c r="G332" s="2" t="s">
        <v>23</v>
      </c>
      <c r="H332" s="2" t="s">
        <v>24</v>
      </c>
      <c r="I332" s="6">
        <v>25</v>
      </c>
      <c r="J332" s="6">
        <v>14323</v>
      </c>
      <c r="K332" s="6">
        <v>384557</v>
      </c>
      <c r="L332" s="6">
        <v>398800</v>
      </c>
      <c r="M332" s="6">
        <v>0</v>
      </c>
      <c r="N332" s="6">
        <v>4</v>
      </c>
      <c r="O332" s="6">
        <v>84</v>
      </c>
      <c r="P332" s="2" t="s">
        <v>25</v>
      </c>
      <c r="Q332" s="2" t="s">
        <v>32</v>
      </c>
      <c r="R332" s="2" t="s">
        <v>522</v>
      </c>
      <c r="S332" s="5">
        <v>1</v>
      </c>
      <c r="T332" s="1">
        <v>0</v>
      </c>
      <c r="U332" s="2">
        <f t="shared" si="67"/>
        <v>1</v>
      </c>
      <c r="V332" s="1">
        <v>0</v>
      </c>
      <c r="W332" s="2">
        <f t="shared" si="68"/>
        <v>1</v>
      </c>
      <c r="X332" s="8">
        <f t="shared" si="69"/>
        <v>100</v>
      </c>
    </row>
    <row r="333" spans="1:24">
      <c r="A333" s="9">
        <v>46054</v>
      </c>
      <c r="B333" s="2" t="s">
        <v>95</v>
      </c>
      <c r="C333" s="2" t="s">
        <v>674</v>
      </c>
      <c r="D333" s="2" t="s">
        <v>1597</v>
      </c>
      <c r="E333" s="2" t="s">
        <v>60</v>
      </c>
      <c r="F333" s="2" t="s">
        <v>1598</v>
      </c>
      <c r="G333" s="2" t="s">
        <v>65</v>
      </c>
      <c r="H333" s="2" t="s">
        <v>24</v>
      </c>
      <c r="I333" s="6">
        <v>22.38</v>
      </c>
      <c r="J333" s="6">
        <v>5797213</v>
      </c>
      <c r="K333" s="6">
        <v>819787</v>
      </c>
      <c r="L333" s="6">
        <v>825000</v>
      </c>
      <c r="M333" s="6">
        <v>0</v>
      </c>
      <c r="N333" s="6">
        <v>49785</v>
      </c>
      <c r="O333" s="6">
        <v>5841785</v>
      </c>
      <c r="P333" s="2" t="s">
        <v>25</v>
      </c>
      <c r="Q333" s="2" t="s">
        <v>32</v>
      </c>
      <c r="R333" s="2" t="s">
        <v>50</v>
      </c>
      <c r="S333" s="5">
        <v>1</v>
      </c>
      <c r="T333" s="1">
        <v>0</v>
      </c>
      <c r="U333" s="2">
        <f t="shared" si="67"/>
        <v>1</v>
      </c>
      <c r="V333" s="1">
        <v>0</v>
      </c>
      <c r="W333" s="2">
        <f t="shared" si="68"/>
        <v>1</v>
      </c>
      <c r="X333" s="8">
        <f t="shared" si="69"/>
        <v>100</v>
      </c>
    </row>
    <row r="334" spans="1:24">
      <c r="A334" s="9">
        <v>46054</v>
      </c>
      <c r="B334" s="2" t="s">
        <v>95</v>
      </c>
      <c r="C334" s="2" t="s">
        <v>674</v>
      </c>
      <c r="D334" s="2" t="s">
        <v>737</v>
      </c>
      <c r="E334" s="2" t="s">
        <v>738</v>
      </c>
      <c r="F334" s="2" t="s">
        <v>739</v>
      </c>
      <c r="G334" s="2" t="s">
        <v>65</v>
      </c>
      <c r="H334" s="2" t="s">
        <v>24</v>
      </c>
      <c r="I334" s="6">
        <v>22.38</v>
      </c>
      <c r="J334" s="6">
        <v>50</v>
      </c>
      <c r="K334" s="6">
        <v>1180</v>
      </c>
      <c r="L334" s="6">
        <v>1230</v>
      </c>
      <c r="M334" s="6">
        <v>0</v>
      </c>
      <c r="N334" s="6">
        <v>0</v>
      </c>
      <c r="O334" s="6">
        <v>0</v>
      </c>
      <c r="P334" s="2" t="s">
        <v>25</v>
      </c>
      <c r="Q334" s="2" t="s">
        <v>32</v>
      </c>
      <c r="R334" s="2" t="s">
        <v>522</v>
      </c>
      <c r="S334" s="5">
        <v>1</v>
      </c>
      <c r="T334" s="1">
        <v>0</v>
      </c>
      <c r="U334" s="2">
        <f t="shared" si="67"/>
        <v>1</v>
      </c>
      <c r="V334" s="1">
        <v>0</v>
      </c>
      <c r="W334" s="2">
        <f t="shared" si="68"/>
        <v>1</v>
      </c>
      <c r="X334" s="8">
        <f t="shared" si="69"/>
        <v>100</v>
      </c>
    </row>
    <row r="335" spans="1:24">
      <c r="A335" s="9">
        <v>46054</v>
      </c>
      <c r="B335" s="2" t="s">
        <v>95</v>
      </c>
      <c r="C335" s="2" t="s">
        <v>674</v>
      </c>
      <c r="D335" s="2" t="s">
        <v>740</v>
      </c>
      <c r="E335" s="2" t="s">
        <v>35</v>
      </c>
      <c r="F335" s="2" t="s">
        <v>741</v>
      </c>
      <c r="G335" s="2" t="s">
        <v>65</v>
      </c>
      <c r="H335" s="2" t="s">
        <v>24</v>
      </c>
      <c r="I335" s="6">
        <v>22.38</v>
      </c>
      <c r="J335" s="6">
        <v>15013</v>
      </c>
      <c r="K335" s="6">
        <v>202462</v>
      </c>
      <c r="L335" s="6">
        <v>217475</v>
      </c>
      <c r="M335" s="6">
        <v>0</v>
      </c>
      <c r="N335" s="6">
        <v>0</v>
      </c>
      <c r="O335" s="6">
        <v>0</v>
      </c>
      <c r="P335" s="2" t="s">
        <v>25</v>
      </c>
      <c r="Q335" s="2" t="s">
        <v>32</v>
      </c>
      <c r="R335" s="2" t="s">
        <v>522</v>
      </c>
      <c r="S335" s="5">
        <v>1</v>
      </c>
      <c r="T335" s="1">
        <v>0</v>
      </c>
      <c r="U335" s="2">
        <f t="shared" si="67"/>
        <v>1</v>
      </c>
      <c r="V335" s="1">
        <v>0</v>
      </c>
      <c r="W335" s="2">
        <f t="shared" si="68"/>
        <v>1</v>
      </c>
      <c r="X335" s="8">
        <f t="shared" si="69"/>
        <v>100</v>
      </c>
    </row>
    <row r="336" spans="1:24">
      <c r="A336" s="9">
        <v>46054</v>
      </c>
      <c r="B336" s="2" t="s">
        <v>95</v>
      </c>
      <c r="C336" s="2" t="s">
        <v>674</v>
      </c>
      <c r="D336" s="2" t="s">
        <v>742</v>
      </c>
      <c r="E336" s="2" t="s">
        <v>166</v>
      </c>
      <c r="F336" s="2" t="s">
        <v>699</v>
      </c>
      <c r="G336" s="2" t="s">
        <v>193</v>
      </c>
      <c r="H336" s="2" t="s">
        <v>24</v>
      </c>
      <c r="I336" s="6">
        <v>22.38</v>
      </c>
      <c r="J336" s="6">
        <v>46670</v>
      </c>
      <c r="K336" s="6">
        <v>1442495</v>
      </c>
      <c r="L336" s="6">
        <v>1489165</v>
      </c>
      <c r="M336" s="6">
        <v>0</v>
      </c>
      <c r="N336" s="6">
        <v>0</v>
      </c>
      <c r="O336" s="6">
        <v>0</v>
      </c>
      <c r="P336" s="2" t="s">
        <v>25</v>
      </c>
      <c r="Q336" s="2" t="s">
        <v>32</v>
      </c>
      <c r="R336" s="2" t="s">
        <v>522</v>
      </c>
      <c r="S336" s="5">
        <v>1</v>
      </c>
      <c r="T336" s="1">
        <v>0</v>
      </c>
      <c r="U336" s="2">
        <f t="shared" si="67"/>
        <v>1</v>
      </c>
      <c r="V336" s="1">
        <v>0</v>
      </c>
      <c r="W336" s="2">
        <f t="shared" si="68"/>
        <v>1</v>
      </c>
      <c r="X336" s="8">
        <f t="shared" si="69"/>
        <v>100</v>
      </c>
    </row>
    <row r="337" spans="1:24">
      <c r="A337" s="9">
        <v>46054</v>
      </c>
      <c r="B337" s="2" t="s">
        <v>95</v>
      </c>
      <c r="C337" s="2" t="s">
        <v>674</v>
      </c>
      <c r="D337" s="2" t="s">
        <v>743</v>
      </c>
      <c r="E337" s="2" t="s">
        <v>306</v>
      </c>
      <c r="F337" s="2" t="s">
        <v>744</v>
      </c>
      <c r="G337" s="2" t="s">
        <v>23</v>
      </c>
      <c r="H337" s="2" t="s">
        <v>24</v>
      </c>
      <c r="I337" s="6">
        <v>22.38</v>
      </c>
      <c r="J337" s="6">
        <v>-732637</v>
      </c>
      <c r="K337" s="6">
        <v>2532</v>
      </c>
      <c r="L337" s="6">
        <v>0</v>
      </c>
      <c r="M337" s="6">
        <v>0</v>
      </c>
      <c r="N337" s="6">
        <v>0</v>
      </c>
      <c r="O337" s="6">
        <v>-730105</v>
      </c>
      <c r="P337" s="2" t="s">
        <v>25</v>
      </c>
      <c r="Q337" s="2" t="s">
        <v>32</v>
      </c>
      <c r="R337" s="2" t="s">
        <v>522</v>
      </c>
      <c r="S337" s="5">
        <v>1</v>
      </c>
      <c r="T337" s="1">
        <v>0</v>
      </c>
      <c r="U337" s="2">
        <f>T337+S337</f>
        <v>1</v>
      </c>
      <c r="V337" s="1">
        <v>0</v>
      </c>
      <c r="W337" s="2">
        <f t="shared" si="68"/>
        <v>1</v>
      </c>
      <c r="X337" s="8">
        <f t="shared" si="69"/>
        <v>100</v>
      </c>
    </row>
    <row r="338" spans="1:24" ht="15" customHeight="1">
      <c r="A338" s="9">
        <v>46054</v>
      </c>
      <c r="B338" s="2" t="s">
        <v>95</v>
      </c>
      <c r="C338" s="2" t="s">
        <v>674</v>
      </c>
      <c r="D338" s="2" t="s">
        <v>745</v>
      </c>
      <c r="E338" s="2" t="s">
        <v>203</v>
      </c>
      <c r="F338" s="2" t="s">
        <v>746</v>
      </c>
      <c r="G338" s="2" t="s">
        <v>747</v>
      </c>
      <c r="H338" s="2" t="s">
        <v>24</v>
      </c>
      <c r="I338" s="6">
        <v>19</v>
      </c>
      <c r="J338" s="6">
        <v>4608</v>
      </c>
      <c r="K338" s="6">
        <v>277634</v>
      </c>
      <c r="L338" s="6">
        <v>282242</v>
      </c>
      <c r="M338" s="6">
        <v>0</v>
      </c>
      <c r="N338" s="6">
        <v>0</v>
      </c>
      <c r="O338" s="6">
        <v>0</v>
      </c>
      <c r="P338" s="2" t="s">
        <v>25</v>
      </c>
      <c r="Q338" s="2" t="s">
        <v>32</v>
      </c>
      <c r="R338" s="2" t="s">
        <v>522</v>
      </c>
      <c r="S338" s="5">
        <v>1</v>
      </c>
      <c r="T338" s="1">
        <v>0</v>
      </c>
      <c r="U338" s="2">
        <f>T338+S338</f>
        <v>1</v>
      </c>
      <c r="V338" s="1">
        <v>0</v>
      </c>
      <c r="W338" s="2">
        <f t="shared" si="68"/>
        <v>1</v>
      </c>
      <c r="X338" s="8">
        <f t="shared" si="69"/>
        <v>100</v>
      </c>
    </row>
    <row r="339" spans="1:24">
      <c r="A339" s="9">
        <v>46054</v>
      </c>
      <c r="B339" s="2" t="s">
        <v>95</v>
      </c>
      <c r="C339" s="2" t="s">
        <v>674</v>
      </c>
      <c r="D339" s="2" t="s">
        <v>748</v>
      </c>
      <c r="E339" s="2" t="s">
        <v>475</v>
      </c>
      <c r="F339" s="2" t="s">
        <v>749</v>
      </c>
      <c r="G339" s="2" t="s">
        <v>65</v>
      </c>
      <c r="H339" s="2" t="s">
        <v>24</v>
      </c>
      <c r="I339" s="6">
        <v>22.38</v>
      </c>
      <c r="J339" s="6">
        <v>18236</v>
      </c>
      <c r="K339" s="6">
        <v>3221</v>
      </c>
      <c r="L339" s="6">
        <v>316987</v>
      </c>
      <c r="M339" s="6">
        <v>0</v>
      </c>
      <c r="N339" s="6">
        <v>0</v>
      </c>
      <c r="O339" s="6">
        <v>-295530</v>
      </c>
      <c r="P339" s="2" t="s">
        <v>25</v>
      </c>
      <c r="Q339" s="2" t="s">
        <v>32</v>
      </c>
      <c r="R339" s="2" t="s">
        <v>27</v>
      </c>
      <c r="S339" s="5">
        <v>0</v>
      </c>
      <c r="T339" s="1">
        <v>1</v>
      </c>
      <c r="U339" s="2">
        <f t="shared" si="67"/>
        <v>1</v>
      </c>
      <c r="V339" s="1">
        <v>0</v>
      </c>
      <c r="W339" s="2">
        <f t="shared" si="68"/>
        <v>1</v>
      </c>
      <c r="X339" s="8">
        <f t="shared" si="69"/>
        <v>0</v>
      </c>
    </row>
    <row r="340" spans="1:24" ht="15" customHeight="1">
      <c r="A340" s="9">
        <v>46054</v>
      </c>
      <c r="B340" s="2" t="s">
        <v>95</v>
      </c>
      <c r="C340" s="2" t="s">
        <v>674</v>
      </c>
      <c r="D340" s="2" t="s">
        <v>750</v>
      </c>
      <c r="E340" s="2" t="s">
        <v>751</v>
      </c>
      <c r="F340" s="2" t="s">
        <v>752</v>
      </c>
      <c r="G340" s="2" t="s">
        <v>217</v>
      </c>
      <c r="H340" s="2" t="s">
        <v>24</v>
      </c>
      <c r="I340" s="6">
        <v>22.38</v>
      </c>
      <c r="J340" s="6">
        <v>15646</v>
      </c>
      <c r="K340" s="6">
        <v>908156</v>
      </c>
      <c r="L340" s="6">
        <v>923802</v>
      </c>
      <c r="M340" s="6">
        <v>0</v>
      </c>
      <c r="N340" s="6">
        <v>0</v>
      </c>
      <c r="O340" s="6">
        <v>0</v>
      </c>
      <c r="P340" s="2" t="s">
        <v>25</v>
      </c>
      <c r="Q340" s="2" t="s">
        <v>32</v>
      </c>
      <c r="R340" s="2" t="s">
        <v>522</v>
      </c>
      <c r="S340" s="5">
        <v>1</v>
      </c>
      <c r="T340" s="1">
        <v>0</v>
      </c>
      <c r="U340" s="2">
        <f>T340+S340</f>
        <v>1</v>
      </c>
      <c r="V340" s="1">
        <v>0</v>
      </c>
      <c r="W340" s="2">
        <f t="shared" si="68"/>
        <v>1</v>
      </c>
      <c r="X340" s="8">
        <f t="shared" si="69"/>
        <v>100</v>
      </c>
    </row>
    <row r="341" spans="1:24" ht="15" customHeight="1">
      <c r="A341" s="9">
        <v>46054</v>
      </c>
      <c r="B341" s="2" t="s">
        <v>95</v>
      </c>
      <c r="C341" s="2" t="s">
        <v>674</v>
      </c>
      <c r="D341" s="2" t="s">
        <v>1465</v>
      </c>
      <c r="E341" s="2" t="s">
        <v>1466</v>
      </c>
      <c r="F341" s="2" t="s">
        <v>1467</v>
      </c>
      <c r="G341" s="2" t="s">
        <v>65</v>
      </c>
      <c r="H341" s="2" t="s">
        <v>24</v>
      </c>
      <c r="I341" s="6">
        <v>10.5</v>
      </c>
      <c r="J341" s="6">
        <v>2522000</v>
      </c>
      <c r="K341" s="6">
        <v>1774</v>
      </c>
      <c r="L341" s="6">
        <v>0</v>
      </c>
      <c r="M341" s="6">
        <v>0</v>
      </c>
      <c r="N341" s="6">
        <v>50</v>
      </c>
      <c r="O341" s="6">
        <v>2523824</v>
      </c>
      <c r="P341" s="2" t="s">
        <v>1246</v>
      </c>
      <c r="Q341" s="2" t="s">
        <v>32</v>
      </c>
      <c r="R341" s="2" t="s">
        <v>33</v>
      </c>
      <c r="S341" s="5">
        <v>1</v>
      </c>
      <c r="T341" s="1">
        <v>0</v>
      </c>
      <c r="U341" s="2">
        <f>T341+S341</f>
        <v>1</v>
      </c>
      <c r="V341" s="1">
        <v>0</v>
      </c>
      <c r="W341" s="2">
        <f t="shared" si="68"/>
        <v>1</v>
      </c>
      <c r="X341" s="8">
        <f t="shared" si="69"/>
        <v>100</v>
      </c>
    </row>
    <row r="342" spans="1:24" ht="15" customHeight="1">
      <c r="A342" s="9">
        <v>46054</v>
      </c>
      <c r="B342" s="2" t="s">
        <v>45</v>
      </c>
      <c r="C342" s="2" t="s">
        <v>753</v>
      </c>
      <c r="D342" s="2" t="s">
        <v>754</v>
      </c>
      <c r="E342" s="2" t="s">
        <v>755</v>
      </c>
      <c r="F342" s="2" t="s">
        <v>756</v>
      </c>
      <c r="G342" s="2" t="s">
        <v>65</v>
      </c>
      <c r="H342" s="2" t="s">
        <v>531</v>
      </c>
      <c r="I342" s="6">
        <v>13</v>
      </c>
      <c r="J342" s="6">
        <v>193665</v>
      </c>
      <c r="K342" s="6">
        <v>0</v>
      </c>
      <c r="L342" s="6">
        <v>0</v>
      </c>
      <c r="M342" s="6">
        <v>0</v>
      </c>
      <c r="N342" s="6">
        <v>0</v>
      </c>
      <c r="O342" s="6">
        <v>193665</v>
      </c>
      <c r="P342" s="2" t="s">
        <v>31</v>
      </c>
      <c r="Q342" s="2" t="s">
        <v>26</v>
      </c>
      <c r="R342" s="2" t="s">
        <v>532</v>
      </c>
      <c r="S342" s="5">
        <v>0</v>
      </c>
      <c r="T342" s="1">
        <v>0</v>
      </c>
      <c r="U342" s="2">
        <f>T342+S342</f>
        <v>0</v>
      </c>
      <c r="V342" s="1">
        <v>1</v>
      </c>
      <c r="W342" s="2">
        <f t="shared" si="68"/>
        <v>1</v>
      </c>
      <c r="X342" s="8" t="e">
        <f t="shared" si="69"/>
        <v>#DIV/0!</v>
      </c>
    </row>
    <row r="343" spans="1:24" ht="15" customHeight="1">
      <c r="A343" s="9">
        <v>46054</v>
      </c>
      <c r="B343" s="2" t="s">
        <v>45</v>
      </c>
      <c r="C343" s="2" t="s">
        <v>753</v>
      </c>
      <c r="D343" s="2" t="s">
        <v>757</v>
      </c>
      <c r="E343" s="2" t="s">
        <v>758</v>
      </c>
      <c r="F343" s="2" t="s">
        <v>759</v>
      </c>
      <c r="G343" s="2" t="s">
        <v>23</v>
      </c>
      <c r="H343" s="2" t="s">
        <v>24</v>
      </c>
      <c r="I343" s="6">
        <v>29.84</v>
      </c>
      <c r="J343" s="6">
        <v>60343</v>
      </c>
      <c r="K343" s="6">
        <v>434376</v>
      </c>
      <c r="L343" s="6">
        <v>496797</v>
      </c>
      <c r="M343" s="6">
        <v>0</v>
      </c>
      <c r="N343" s="6">
        <v>2078</v>
      </c>
      <c r="O343" s="6">
        <v>0</v>
      </c>
      <c r="P343" s="2" t="s">
        <v>25</v>
      </c>
      <c r="Q343" s="2" t="s">
        <v>32</v>
      </c>
      <c r="R343" s="2" t="s">
        <v>27</v>
      </c>
      <c r="S343" s="5">
        <v>1</v>
      </c>
      <c r="T343" s="1">
        <v>0</v>
      </c>
      <c r="U343" s="2">
        <f t="shared" si="67"/>
        <v>1</v>
      </c>
      <c r="V343" s="1">
        <v>0</v>
      </c>
      <c r="W343" s="2">
        <f t="shared" si="68"/>
        <v>1</v>
      </c>
      <c r="X343" s="8">
        <f t="shared" si="69"/>
        <v>100</v>
      </c>
    </row>
    <row r="344" spans="1:24" ht="15" customHeight="1">
      <c r="A344" s="9">
        <v>46054</v>
      </c>
      <c r="B344" s="2" t="s">
        <v>45</v>
      </c>
      <c r="C344" s="2" t="s">
        <v>753</v>
      </c>
      <c r="D344" s="2" t="s">
        <v>1637</v>
      </c>
      <c r="E344" s="2" t="s">
        <v>35</v>
      </c>
      <c r="F344" s="2" t="s">
        <v>1638</v>
      </c>
      <c r="G344" s="2" t="s">
        <v>1639</v>
      </c>
      <c r="H344" s="2" t="s">
        <v>24</v>
      </c>
      <c r="I344" s="6">
        <v>37.299999999999997</v>
      </c>
      <c r="J344" s="6">
        <v>463764</v>
      </c>
      <c r="K344" s="6">
        <v>33486</v>
      </c>
      <c r="L344" s="6">
        <v>35461</v>
      </c>
      <c r="M344" s="6">
        <v>0</v>
      </c>
      <c r="N344" s="6">
        <v>0</v>
      </c>
      <c r="O344" s="6">
        <v>461789</v>
      </c>
      <c r="P344" s="2" t="s">
        <v>25</v>
      </c>
      <c r="Q344" s="2" t="s">
        <v>32</v>
      </c>
      <c r="R344" s="2" t="s">
        <v>50</v>
      </c>
      <c r="S344" s="5">
        <v>1</v>
      </c>
      <c r="T344" s="1">
        <v>0</v>
      </c>
      <c r="U344" s="2">
        <f t="shared" si="67"/>
        <v>1</v>
      </c>
      <c r="V344" s="1">
        <v>0</v>
      </c>
      <c r="W344" s="2">
        <f t="shared" si="68"/>
        <v>1</v>
      </c>
      <c r="X344" s="8">
        <f t="shared" si="69"/>
        <v>100</v>
      </c>
    </row>
    <row r="345" spans="1:24" ht="15" customHeight="1">
      <c r="A345" s="9">
        <v>46054</v>
      </c>
      <c r="B345" s="2" t="s">
        <v>45</v>
      </c>
      <c r="C345" s="2" t="s">
        <v>753</v>
      </c>
      <c r="D345" s="2" t="s">
        <v>760</v>
      </c>
      <c r="E345" s="2" t="s">
        <v>154</v>
      </c>
      <c r="F345" s="2" t="s">
        <v>761</v>
      </c>
      <c r="G345" s="2" t="s">
        <v>65</v>
      </c>
      <c r="H345" s="2" t="s">
        <v>24</v>
      </c>
      <c r="I345" s="6">
        <v>29.84</v>
      </c>
      <c r="J345" s="6">
        <v>19339</v>
      </c>
      <c r="K345" s="6">
        <v>542044</v>
      </c>
      <c r="L345" s="6">
        <v>561383</v>
      </c>
      <c r="M345" s="6">
        <v>0</v>
      </c>
      <c r="N345" s="6">
        <v>0</v>
      </c>
      <c r="O345" s="6">
        <v>0</v>
      </c>
      <c r="P345" s="2" t="s">
        <v>25</v>
      </c>
      <c r="Q345" s="2" t="s">
        <v>32</v>
      </c>
      <c r="R345" s="2" t="s">
        <v>50</v>
      </c>
      <c r="S345" s="5">
        <v>1</v>
      </c>
      <c r="T345" s="1">
        <v>0</v>
      </c>
      <c r="U345" s="2">
        <f t="shared" si="67"/>
        <v>1</v>
      </c>
      <c r="V345" s="1">
        <v>0</v>
      </c>
      <c r="W345" s="2">
        <f t="shared" si="68"/>
        <v>1</v>
      </c>
      <c r="X345" s="8">
        <f t="shared" si="69"/>
        <v>100</v>
      </c>
    </row>
    <row r="346" spans="1:24" ht="15" customHeight="1">
      <c r="A346" s="9">
        <v>46054</v>
      </c>
      <c r="B346" s="2" t="s">
        <v>45</v>
      </c>
      <c r="C346" s="2" t="s">
        <v>753</v>
      </c>
      <c r="D346" s="2" t="s">
        <v>1599</v>
      </c>
      <c r="E346" s="2" t="s">
        <v>60</v>
      </c>
      <c r="F346" s="2" t="s">
        <v>1600</v>
      </c>
      <c r="G346" s="2" t="s">
        <v>49</v>
      </c>
      <c r="H346" s="2" t="s">
        <v>24</v>
      </c>
      <c r="I346" s="6">
        <v>29.84</v>
      </c>
      <c r="J346" s="6">
        <v>50</v>
      </c>
      <c r="K346" s="6">
        <v>1180</v>
      </c>
      <c r="L346" s="6">
        <v>1230</v>
      </c>
      <c r="M346" s="6">
        <v>0</v>
      </c>
      <c r="N346" s="6">
        <v>0</v>
      </c>
      <c r="O346" s="6">
        <v>0</v>
      </c>
      <c r="P346" s="2" t="s">
        <v>25</v>
      </c>
      <c r="Q346" s="2" t="s">
        <v>32</v>
      </c>
      <c r="R346" s="2" t="s">
        <v>50</v>
      </c>
      <c r="S346" s="5">
        <v>0</v>
      </c>
      <c r="T346" s="1">
        <v>1</v>
      </c>
      <c r="U346" s="2">
        <f t="shared" si="67"/>
        <v>1</v>
      </c>
      <c r="V346" s="1">
        <v>0</v>
      </c>
      <c r="W346" s="2">
        <f t="shared" si="68"/>
        <v>1</v>
      </c>
      <c r="X346" s="8">
        <f t="shared" si="69"/>
        <v>0</v>
      </c>
    </row>
    <row r="347" spans="1:24" ht="15" customHeight="1">
      <c r="A347" s="9">
        <v>46054</v>
      </c>
      <c r="B347" s="2" t="s">
        <v>45</v>
      </c>
      <c r="C347" s="2" t="s">
        <v>753</v>
      </c>
      <c r="D347" s="2" t="s">
        <v>1601</v>
      </c>
      <c r="E347" s="2" t="s">
        <v>60</v>
      </c>
      <c r="F347" s="2" t="s">
        <v>1602</v>
      </c>
      <c r="G347" s="2" t="s">
        <v>1603</v>
      </c>
      <c r="H347" s="2" t="s">
        <v>24</v>
      </c>
      <c r="I347" s="6">
        <v>29.84</v>
      </c>
      <c r="J347" s="6">
        <v>5759969</v>
      </c>
      <c r="K347" s="6">
        <v>243885</v>
      </c>
      <c r="L347" s="6">
        <v>250000</v>
      </c>
      <c r="M347" s="6">
        <v>0</v>
      </c>
      <c r="N347" s="6">
        <v>26954</v>
      </c>
      <c r="O347" s="6">
        <v>5780808</v>
      </c>
      <c r="P347" s="2" t="s">
        <v>25</v>
      </c>
      <c r="Q347" s="2" t="s">
        <v>32</v>
      </c>
      <c r="R347" s="2" t="s">
        <v>50</v>
      </c>
      <c r="S347" s="5">
        <v>1</v>
      </c>
      <c r="T347" s="1">
        <v>0</v>
      </c>
      <c r="U347" s="2">
        <f t="shared" si="67"/>
        <v>1</v>
      </c>
      <c r="V347" s="1">
        <v>0</v>
      </c>
      <c r="W347" s="2">
        <f t="shared" si="68"/>
        <v>1</v>
      </c>
      <c r="X347" s="8">
        <f t="shared" si="69"/>
        <v>100</v>
      </c>
    </row>
    <row r="348" spans="1:24" ht="15" customHeight="1">
      <c r="A348" s="9">
        <v>46054</v>
      </c>
      <c r="B348" s="2" t="s">
        <v>45</v>
      </c>
      <c r="C348" s="2" t="s">
        <v>753</v>
      </c>
      <c r="D348" s="2" t="s">
        <v>762</v>
      </c>
      <c r="E348" s="2" t="s">
        <v>420</v>
      </c>
      <c r="F348" s="2" t="s">
        <v>763</v>
      </c>
      <c r="G348" s="2"/>
      <c r="H348" s="2" t="s">
        <v>24</v>
      </c>
      <c r="I348" s="6">
        <v>29.84</v>
      </c>
      <c r="J348" s="6">
        <v>83650</v>
      </c>
      <c r="K348" s="6">
        <v>752837</v>
      </c>
      <c r="L348" s="6">
        <v>839033</v>
      </c>
      <c r="M348" s="6">
        <v>0</v>
      </c>
      <c r="N348" s="6">
        <v>2546</v>
      </c>
      <c r="O348" s="6">
        <v>0</v>
      </c>
      <c r="P348" s="2" t="s">
        <v>25</v>
      </c>
      <c r="Q348" s="2" t="s">
        <v>32</v>
      </c>
      <c r="R348" s="2" t="s">
        <v>27</v>
      </c>
      <c r="S348" s="5">
        <v>1</v>
      </c>
      <c r="T348" s="1">
        <v>0</v>
      </c>
      <c r="U348" s="2">
        <f t="shared" si="67"/>
        <v>1</v>
      </c>
      <c r="V348" s="1">
        <v>0</v>
      </c>
      <c r="W348" s="2">
        <f t="shared" si="68"/>
        <v>1</v>
      </c>
      <c r="X348" s="8">
        <f t="shared" si="69"/>
        <v>100</v>
      </c>
    </row>
    <row r="349" spans="1:24" ht="15" customHeight="1">
      <c r="A349" s="9">
        <v>46054</v>
      </c>
      <c r="B349" s="2" t="s">
        <v>45</v>
      </c>
      <c r="C349" s="2" t="s">
        <v>753</v>
      </c>
      <c r="D349" s="2" t="s">
        <v>764</v>
      </c>
      <c r="E349" s="2" t="s">
        <v>326</v>
      </c>
      <c r="F349" s="2" t="s">
        <v>765</v>
      </c>
      <c r="G349" s="2" t="s">
        <v>562</v>
      </c>
      <c r="H349" s="2" t="s">
        <v>24</v>
      </c>
      <c r="I349" s="6">
        <v>29.84</v>
      </c>
      <c r="J349" s="6">
        <v>50</v>
      </c>
      <c r="K349" s="6">
        <v>1180</v>
      </c>
      <c r="L349" s="6">
        <v>1230</v>
      </c>
      <c r="M349" s="6">
        <v>0</v>
      </c>
      <c r="N349" s="6">
        <v>50</v>
      </c>
      <c r="O349" s="6">
        <v>50</v>
      </c>
      <c r="P349" s="2" t="s">
        <v>25</v>
      </c>
      <c r="Q349" s="2" t="s">
        <v>32</v>
      </c>
      <c r="R349" s="2" t="s">
        <v>27</v>
      </c>
      <c r="S349" s="5">
        <v>1</v>
      </c>
      <c r="T349" s="1">
        <v>0</v>
      </c>
      <c r="U349" s="2">
        <f t="shared" si="67"/>
        <v>1</v>
      </c>
      <c r="V349" s="1">
        <v>0</v>
      </c>
      <c r="W349" s="2">
        <f t="shared" si="68"/>
        <v>1</v>
      </c>
      <c r="X349" s="8">
        <f t="shared" si="69"/>
        <v>100</v>
      </c>
    </row>
    <row r="350" spans="1:24">
      <c r="A350" s="9">
        <v>46054</v>
      </c>
      <c r="B350" s="2" t="s">
        <v>45</v>
      </c>
      <c r="C350" s="2" t="s">
        <v>753</v>
      </c>
      <c r="D350" s="2" t="s">
        <v>766</v>
      </c>
      <c r="E350" s="2" t="s">
        <v>767</v>
      </c>
      <c r="F350" s="2" t="s">
        <v>768</v>
      </c>
      <c r="G350" s="2" t="s">
        <v>769</v>
      </c>
      <c r="H350" s="2" t="s">
        <v>24</v>
      </c>
      <c r="I350" s="6">
        <v>29.84</v>
      </c>
      <c r="J350" s="6">
        <v>4940095</v>
      </c>
      <c r="K350" s="6">
        <v>28307</v>
      </c>
      <c r="L350" s="6">
        <v>0</v>
      </c>
      <c r="M350" s="6">
        <v>0</v>
      </c>
      <c r="N350" s="6">
        <v>3695</v>
      </c>
      <c r="O350" s="6">
        <v>4972097</v>
      </c>
      <c r="P350" s="2" t="s">
        <v>25</v>
      </c>
      <c r="Q350" s="2" t="s">
        <v>32</v>
      </c>
      <c r="R350" s="2" t="s">
        <v>528</v>
      </c>
      <c r="S350" s="5">
        <v>1</v>
      </c>
      <c r="T350" s="1">
        <v>0</v>
      </c>
      <c r="U350" s="2">
        <f t="shared" si="67"/>
        <v>1</v>
      </c>
      <c r="V350" s="1">
        <v>0</v>
      </c>
      <c r="W350" s="2">
        <f t="shared" si="68"/>
        <v>1</v>
      </c>
      <c r="X350" s="8">
        <f t="shared" si="69"/>
        <v>100</v>
      </c>
    </row>
    <row r="351" spans="1:24">
      <c r="A351" s="9">
        <v>46054</v>
      </c>
      <c r="B351" s="2" t="s">
        <v>95</v>
      </c>
      <c r="C351" s="2" t="s">
        <v>753</v>
      </c>
      <c r="D351" s="2" t="s">
        <v>770</v>
      </c>
      <c r="E351" s="2" t="s">
        <v>771</v>
      </c>
      <c r="F351" s="2" t="s">
        <v>772</v>
      </c>
      <c r="G351" s="2" t="s">
        <v>23</v>
      </c>
      <c r="H351" s="2" t="s">
        <v>24</v>
      </c>
      <c r="I351" s="6">
        <v>18.649999999999999</v>
      </c>
      <c r="J351" s="6">
        <v>3363</v>
      </c>
      <c r="K351" s="6">
        <v>4524</v>
      </c>
      <c r="L351" s="6">
        <v>7887</v>
      </c>
      <c r="M351" s="6">
        <v>0</v>
      </c>
      <c r="N351" s="6">
        <v>0</v>
      </c>
      <c r="O351" s="6">
        <v>0</v>
      </c>
      <c r="P351" s="2" t="s">
        <v>25</v>
      </c>
      <c r="Q351" s="2" t="s">
        <v>32</v>
      </c>
      <c r="R351" s="2" t="s">
        <v>522</v>
      </c>
      <c r="S351" s="5">
        <v>1</v>
      </c>
      <c r="T351" s="1">
        <v>0</v>
      </c>
      <c r="U351" s="2">
        <f t="shared" si="67"/>
        <v>1</v>
      </c>
      <c r="V351" s="1">
        <v>0</v>
      </c>
      <c r="W351" s="2">
        <f t="shared" si="68"/>
        <v>1</v>
      </c>
      <c r="X351" s="8">
        <f t="shared" si="69"/>
        <v>100</v>
      </c>
    </row>
    <row r="352" spans="1:24">
      <c r="A352" s="9">
        <v>46054</v>
      </c>
      <c r="B352" s="2" t="s">
        <v>95</v>
      </c>
      <c r="C352" s="2" t="s">
        <v>753</v>
      </c>
      <c r="D352" s="2" t="s">
        <v>773</v>
      </c>
      <c r="E352" s="2" t="s">
        <v>475</v>
      </c>
      <c r="F352" s="2" t="s">
        <v>774</v>
      </c>
      <c r="G352" s="2"/>
      <c r="H352" s="2" t="s">
        <v>24</v>
      </c>
      <c r="I352" s="6">
        <v>22.38</v>
      </c>
      <c r="J352" s="6">
        <v>23777</v>
      </c>
      <c r="K352" s="6">
        <v>606427.99</v>
      </c>
      <c r="L352" s="6">
        <v>538930</v>
      </c>
      <c r="M352" s="6">
        <v>0</v>
      </c>
      <c r="N352" s="6">
        <v>0</v>
      </c>
      <c r="O352" s="6">
        <v>91274.99</v>
      </c>
      <c r="P352" s="2" t="s">
        <v>25</v>
      </c>
      <c r="Q352" s="2" t="s">
        <v>32</v>
      </c>
      <c r="R352" s="2" t="s">
        <v>522</v>
      </c>
      <c r="S352" s="5">
        <v>1</v>
      </c>
      <c r="T352" s="1">
        <v>0</v>
      </c>
      <c r="U352" s="2">
        <f t="shared" si="67"/>
        <v>1</v>
      </c>
      <c r="V352" s="1">
        <v>0</v>
      </c>
      <c r="W352" s="2">
        <f t="shared" si="68"/>
        <v>1</v>
      </c>
      <c r="X352" s="8">
        <f t="shared" si="69"/>
        <v>100</v>
      </c>
    </row>
    <row r="353" spans="1:24">
      <c r="A353" s="9">
        <v>46054</v>
      </c>
      <c r="B353" s="2" t="s">
        <v>95</v>
      </c>
      <c r="C353" s="2" t="s">
        <v>753</v>
      </c>
      <c r="D353" s="2" t="s">
        <v>775</v>
      </c>
      <c r="E353" s="2" t="s">
        <v>238</v>
      </c>
      <c r="F353" s="2" t="s">
        <v>776</v>
      </c>
      <c r="G353" s="2" t="s">
        <v>193</v>
      </c>
      <c r="H353" s="2" t="s">
        <v>24</v>
      </c>
      <c r="I353" s="6">
        <v>18.649999999999999</v>
      </c>
      <c r="J353" s="6">
        <v>3641</v>
      </c>
      <c r="K353" s="6">
        <v>68798</v>
      </c>
      <c r="L353" s="6">
        <v>72439</v>
      </c>
      <c r="M353" s="6">
        <v>0</v>
      </c>
      <c r="N353" s="6">
        <v>0</v>
      </c>
      <c r="O353" s="6">
        <v>0</v>
      </c>
      <c r="P353" s="2" t="s">
        <v>25</v>
      </c>
      <c r="Q353" s="2" t="s">
        <v>32</v>
      </c>
      <c r="R353" s="2" t="s">
        <v>522</v>
      </c>
      <c r="S353" s="5">
        <v>1</v>
      </c>
      <c r="T353" s="1">
        <v>0</v>
      </c>
      <c r="U353" s="2">
        <f t="shared" si="67"/>
        <v>1</v>
      </c>
      <c r="V353" s="1">
        <v>0</v>
      </c>
      <c r="W353" s="2">
        <f t="shared" si="68"/>
        <v>1</v>
      </c>
      <c r="X353" s="8">
        <f t="shared" si="69"/>
        <v>100</v>
      </c>
    </row>
    <row r="354" spans="1:24">
      <c r="A354" s="9">
        <v>46054</v>
      </c>
      <c r="B354" s="2" t="s">
        <v>95</v>
      </c>
      <c r="C354" s="2" t="s">
        <v>753</v>
      </c>
      <c r="D354" s="2" t="s">
        <v>777</v>
      </c>
      <c r="E354" s="2" t="s">
        <v>778</v>
      </c>
      <c r="F354" s="2" t="s">
        <v>779</v>
      </c>
      <c r="G354" s="2" t="s">
        <v>193</v>
      </c>
      <c r="H354" s="2" t="s">
        <v>24</v>
      </c>
      <c r="I354" s="6">
        <v>14.92</v>
      </c>
      <c r="J354" s="6">
        <v>16270</v>
      </c>
      <c r="K354" s="6">
        <v>447270</v>
      </c>
      <c r="L354" s="6">
        <v>463540</v>
      </c>
      <c r="M354" s="6">
        <v>0</v>
      </c>
      <c r="N354" s="6">
        <v>0</v>
      </c>
      <c r="O354" s="6">
        <v>0</v>
      </c>
      <c r="P354" s="2" t="s">
        <v>25</v>
      </c>
      <c r="Q354" s="2" t="s">
        <v>32</v>
      </c>
      <c r="R354" s="2" t="s">
        <v>522</v>
      </c>
      <c r="S354" s="5">
        <v>1</v>
      </c>
      <c r="T354" s="1">
        <v>0</v>
      </c>
      <c r="U354" s="2">
        <f t="shared" si="67"/>
        <v>1</v>
      </c>
      <c r="V354" s="1">
        <v>0</v>
      </c>
      <c r="W354" s="2">
        <f t="shared" si="68"/>
        <v>1</v>
      </c>
      <c r="X354" s="8">
        <f t="shared" si="69"/>
        <v>100</v>
      </c>
    </row>
    <row r="355" spans="1:24">
      <c r="A355" s="9">
        <v>46054</v>
      </c>
      <c r="B355" s="2" t="s">
        <v>95</v>
      </c>
      <c r="C355" s="2" t="s">
        <v>753</v>
      </c>
      <c r="D355" s="2" t="s">
        <v>780</v>
      </c>
      <c r="E355" s="2" t="s">
        <v>781</v>
      </c>
      <c r="F355" s="2" t="s">
        <v>782</v>
      </c>
      <c r="G355" s="2" t="s">
        <v>23</v>
      </c>
      <c r="H355" s="2" t="s">
        <v>24</v>
      </c>
      <c r="I355" s="6">
        <v>14.92</v>
      </c>
      <c r="J355" s="6">
        <v>8749</v>
      </c>
      <c r="K355" s="6">
        <v>2139</v>
      </c>
      <c r="L355" s="6">
        <v>10888</v>
      </c>
      <c r="M355" s="6">
        <v>0</v>
      </c>
      <c r="N355" s="6">
        <v>0</v>
      </c>
      <c r="O355" s="6">
        <v>0</v>
      </c>
      <c r="P355" s="2" t="s">
        <v>25</v>
      </c>
      <c r="Q355" s="2" t="s">
        <v>32</v>
      </c>
      <c r="R355" s="2" t="s">
        <v>522</v>
      </c>
      <c r="S355" s="5">
        <v>1</v>
      </c>
      <c r="T355" s="1">
        <v>0</v>
      </c>
      <c r="U355" s="2">
        <f t="shared" si="67"/>
        <v>1</v>
      </c>
      <c r="V355" s="1">
        <v>0</v>
      </c>
      <c r="W355" s="2">
        <f t="shared" si="68"/>
        <v>1</v>
      </c>
      <c r="X355" s="8">
        <f t="shared" si="69"/>
        <v>100</v>
      </c>
    </row>
    <row r="356" spans="1:24" ht="15" customHeight="1">
      <c r="A356" s="9">
        <v>46054</v>
      </c>
      <c r="B356" s="2" t="s">
        <v>95</v>
      </c>
      <c r="C356" s="2" t="s">
        <v>753</v>
      </c>
      <c r="D356" s="2" t="s">
        <v>783</v>
      </c>
      <c r="E356" s="2" t="s">
        <v>306</v>
      </c>
      <c r="F356" s="2" t="s">
        <v>784</v>
      </c>
      <c r="G356" s="2" t="s">
        <v>23</v>
      </c>
      <c r="H356" s="2" t="s">
        <v>24</v>
      </c>
      <c r="I356" s="6">
        <v>22.38</v>
      </c>
      <c r="J356" s="6">
        <v>34140</v>
      </c>
      <c r="K356" s="6">
        <v>8850</v>
      </c>
      <c r="L356" s="6">
        <v>42990</v>
      </c>
      <c r="M356" s="6">
        <v>0</v>
      </c>
      <c r="N356" s="6">
        <v>0</v>
      </c>
      <c r="O356" s="6">
        <v>0</v>
      </c>
      <c r="P356" s="2" t="s">
        <v>25</v>
      </c>
      <c r="Q356" s="2" t="s">
        <v>32</v>
      </c>
      <c r="R356" s="2" t="s">
        <v>50</v>
      </c>
      <c r="S356" s="5">
        <v>1</v>
      </c>
      <c r="T356" s="1">
        <v>0</v>
      </c>
      <c r="U356" s="2">
        <f>T356+S356</f>
        <v>1</v>
      </c>
      <c r="V356" s="1">
        <v>0</v>
      </c>
      <c r="W356" s="2">
        <f>V356+U356</f>
        <v>1</v>
      </c>
      <c r="X356" s="8">
        <f t="shared" si="69"/>
        <v>100</v>
      </c>
    </row>
    <row r="357" spans="1:24">
      <c r="A357" s="9">
        <v>46054</v>
      </c>
      <c r="B357" s="2" t="s">
        <v>95</v>
      </c>
      <c r="C357" s="2" t="s">
        <v>753</v>
      </c>
      <c r="D357" s="2" t="s">
        <v>785</v>
      </c>
      <c r="E357" s="2" t="s">
        <v>786</v>
      </c>
      <c r="F357" s="2" t="s">
        <v>787</v>
      </c>
      <c r="G357" s="2" t="s">
        <v>788</v>
      </c>
      <c r="H357" s="2" t="s">
        <v>24</v>
      </c>
      <c r="I357" s="6">
        <v>22.38</v>
      </c>
      <c r="J357" s="6">
        <v>35388</v>
      </c>
      <c r="K357" s="6">
        <v>2419</v>
      </c>
      <c r="L357" s="6">
        <v>14709</v>
      </c>
      <c r="M357" s="6">
        <v>0</v>
      </c>
      <c r="N357" s="6">
        <v>0</v>
      </c>
      <c r="O357" s="6">
        <v>23098</v>
      </c>
      <c r="P357" s="2" t="s">
        <v>25</v>
      </c>
      <c r="Q357" s="2" t="s">
        <v>32</v>
      </c>
      <c r="R357" s="2" t="s">
        <v>652</v>
      </c>
      <c r="S357" s="5">
        <v>1</v>
      </c>
      <c r="T357" s="1">
        <v>0</v>
      </c>
      <c r="U357" s="2">
        <f t="shared" ref="U357:U362" si="70">T357+S357</f>
        <v>1</v>
      </c>
      <c r="V357" s="1">
        <v>0</v>
      </c>
      <c r="W357" s="2">
        <f t="shared" ref="W357:W363" si="71">V357+U357</f>
        <v>1</v>
      </c>
      <c r="X357" s="8">
        <f t="shared" ref="X357:X363" si="72">100/U357*S357</f>
        <v>100</v>
      </c>
    </row>
    <row r="358" spans="1:24">
      <c r="A358" s="9">
        <v>46054</v>
      </c>
      <c r="B358" s="2" t="s">
        <v>95</v>
      </c>
      <c r="C358" s="2" t="s">
        <v>753</v>
      </c>
      <c r="D358" s="2" t="s">
        <v>789</v>
      </c>
      <c r="E358" s="2" t="s">
        <v>790</v>
      </c>
      <c r="F358" s="2" t="s">
        <v>791</v>
      </c>
      <c r="G358" s="2" t="s">
        <v>792</v>
      </c>
      <c r="H358" s="2" t="s">
        <v>24</v>
      </c>
      <c r="I358" s="6">
        <v>22</v>
      </c>
      <c r="J358" s="6">
        <v>18155</v>
      </c>
      <c r="K358" s="6">
        <v>3934</v>
      </c>
      <c r="L358" s="6">
        <v>22089</v>
      </c>
      <c r="M358" s="6">
        <v>0</v>
      </c>
      <c r="N358" s="6">
        <v>0</v>
      </c>
      <c r="O358" s="6">
        <v>0</v>
      </c>
      <c r="P358" s="2" t="s">
        <v>25</v>
      </c>
      <c r="Q358" s="2" t="s">
        <v>32</v>
      </c>
      <c r="R358" s="2" t="s">
        <v>126</v>
      </c>
      <c r="S358" s="5">
        <v>1</v>
      </c>
      <c r="T358" s="1">
        <v>0</v>
      </c>
      <c r="U358" s="2">
        <f t="shared" si="70"/>
        <v>1</v>
      </c>
      <c r="V358" s="1">
        <v>0</v>
      </c>
      <c r="W358" s="2">
        <f t="shared" si="71"/>
        <v>1</v>
      </c>
      <c r="X358" s="8">
        <f t="shared" si="72"/>
        <v>100</v>
      </c>
    </row>
    <row r="359" spans="1:24">
      <c r="A359" s="9">
        <v>46054</v>
      </c>
      <c r="B359" s="2" t="s">
        <v>95</v>
      </c>
      <c r="C359" s="2" t="s">
        <v>753</v>
      </c>
      <c r="D359" s="2" t="s">
        <v>793</v>
      </c>
      <c r="E359" s="2" t="s">
        <v>475</v>
      </c>
      <c r="F359" s="2" t="s">
        <v>794</v>
      </c>
      <c r="G359" s="2"/>
      <c r="H359" s="2" t="s">
        <v>24</v>
      </c>
      <c r="I359" s="6">
        <v>22.38</v>
      </c>
      <c r="J359" s="6">
        <v>50</v>
      </c>
      <c r="K359" s="6">
        <v>1180</v>
      </c>
      <c r="L359" s="6">
        <v>1230</v>
      </c>
      <c r="M359" s="6">
        <v>0</v>
      </c>
      <c r="N359" s="6">
        <v>0</v>
      </c>
      <c r="O359" s="6">
        <v>0</v>
      </c>
      <c r="P359" s="2" t="s">
        <v>25</v>
      </c>
      <c r="Q359" s="2" t="s">
        <v>32</v>
      </c>
      <c r="R359" s="2" t="s">
        <v>522</v>
      </c>
      <c r="S359" s="5">
        <v>1</v>
      </c>
      <c r="T359" s="1">
        <v>0</v>
      </c>
      <c r="U359" s="2">
        <f>T359+S359</f>
        <v>1</v>
      </c>
      <c r="V359" s="1">
        <v>0</v>
      </c>
      <c r="W359" s="2">
        <f t="shared" si="71"/>
        <v>1</v>
      </c>
      <c r="X359" s="8">
        <f t="shared" si="72"/>
        <v>100</v>
      </c>
    </row>
    <row r="360" spans="1:24">
      <c r="A360" s="9">
        <v>46054</v>
      </c>
      <c r="B360" s="2" t="s">
        <v>95</v>
      </c>
      <c r="C360" s="2" t="s">
        <v>753</v>
      </c>
      <c r="D360" s="2" t="s">
        <v>795</v>
      </c>
      <c r="E360" s="2" t="s">
        <v>306</v>
      </c>
      <c r="F360" s="2" t="s">
        <v>796</v>
      </c>
      <c r="G360" s="2" t="s">
        <v>797</v>
      </c>
      <c r="H360" s="2" t="s">
        <v>24</v>
      </c>
      <c r="I360" s="6">
        <v>22.38</v>
      </c>
      <c r="J360" s="6">
        <v>50</v>
      </c>
      <c r="K360" s="6">
        <v>1180</v>
      </c>
      <c r="L360" s="6">
        <v>1230</v>
      </c>
      <c r="M360" s="6">
        <v>0</v>
      </c>
      <c r="N360" s="6">
        <v>0</v>
      </c>
      <c r="O360" s="6">
        <v>0</v>
      </c>
      <c r="P360" s="2" t="s">
        <v>25</v>
      </c>
      <c r="Q360" s="2" t="s">
        <v>32</v>
      </c>
      <c r="R360" s="2" t="s">
        <v>522</v>
      </c>
      <c r="S360" s="5">
        <v>1</v>
      </c>
      <c r="T360" s="1">
        <v>0</v>
      </c>
      <c r="U360" s="2">
        <f t="shared" si="70"/>
        <v>1</v>
      </c>
      <c r="V360" s="1">
        <v>0</v>
      </c>
      <c r="W360" s="2">
        <f t="shared" si="71"/>
        <v>1</v>
      </c>
      <c r="X360" s="8">
        <f t="shared" si="72"/>
        <v>100</v>
      </c>
    </row>
    <row r="361" spans="1:24">
      <c r="A361" s="9">
        <v>46054</v>
      </c>
      <c r="B361" s="2" t="s">
        <v>95</v>
      </c>
      <c r="C361" s="2" t="s">
        <v>753</v>
      </c>
      <c r="D361" s="2" t="s">
        <v>798</v>
      </c>
      <c r="E361" s="2" t="s">
        <v>475</v>
      </c>
      <c r="F361" s="2" t="s">
        <v>799</v>
      </c>
      <c r="G361" s="2" t="s">
        <v>193</v>
      </c>
      <c r="H361" s="2" t="s">
        <v>24</v>
      </c>
      <c r="I361" s="6">
        <v>18.600000000000001</v>
      </c>
      <c r="J361" s="6">
        <v>18190</v>
      </c>
      <c r="K361" s="6">
        <v>311723</v>
      </c>
      <c r="L361" s="6">
        <v>329913</v>
      </c>
      <c r="M361" s="6">
        <v>0</v>
      </c>
      <c r="N361" s="6">
        <v>0</v>
      </c>
      <c r="O361" s="6">
        <v>0</v>
      </c>
      <c r="P361" s="2" t="s">
        <v>25</v>
      </c>
      <c r="Q361" s="2" t="s">
        <v>32</v>
      </c>
      <c r="R361" s="2" t="s">
        <v>522</v>
      </c>
      <c r="S361" s="5">
        <v>1</v>
      </c>
      <c r="T361" s="1">
        <v>0</v>
      </c>
      <c r="U361" s="2">
        <f t="shared" si="70"/>
        <v>1</v>
      </c>
      <c r="V361" s="1">
        <v>0</v>
      </c>
      <c r="W361" s="2">
        <f t="shared" si="71"/>
        <v>1</v>
      </c>
      <c r="X361" s="8">
        <f t="shared" si="72"/>
        <v>100</v>
      </c>
    </row>
    <row r="362" spans="1:24">
      <c r="A362" s="9">
        <v>46054</v>
      </c>
      <c r="B362" s="2" t="s">
        <v>95</v>
      </c>
      <c r="C362" s="2" t="s">
        <v>753</v>
      </c>
      <c r="D362" s="2" t="s">
        <v>1604</v>
      </c>
      <c r="E362" s="2" t="s">
        <v>726</v>
      </c>
      <c r="F362" s="2" t="s">
        <v>1605</v>
      </c>
      <c r="G362" s="2" t="s">
        <v>65</v>
      </c>
      <c r="H362" s="2" t="s">
        <v>24</v>
      </c>
      <c r="I362" s="6">
        <v>22.38</v>
      </c>
      <c r="J362" s="6">
        <v>4864</v>
      </c>
      <c r="K362" s="6">
        <v>2013</v>
      </c>
      <c r="L362" s="6">
        <v>6877</v>
      </c>
      <c r="M362" s="6">
        <v>0</v>
      </c>
      <c r="N362" s="6">
        <v>0</v>
      </c>
      <c r="O362" s="6">
        <v>0</v>
      </c>
      <c r="P362" s="2" t="s">
        <v>25</v>
      </c>
      <c r="Q362" s="2" t="s">
        <v>32</v>
      </c>
      <c r="R362" s="2" t="s">
        <v>50</v>
      </c>
      <c r="S362" s="5">
        <v>1</v>
      </c>
      <c r="T362" s="1">
        <v>0</v>
      </c>
      <c r="U362" s="2">
        <f t="shared" si="70"/>
        <v>1</v>
      </c>
      <c r="V362" s="1">
        <v>0</v>
      </c>
      <c r="W362" s="2">
        <f t="shared" si="71"/>
        <v>1</v>
      </c>
      <c r="X362" s="8">
        <f t="shared" si="72"/>
        <v>100</v>
      </c>
    </row>
    <row r="363" spans="1:24" ht="15" customHeight="1">
      <c r="A363" s="9">
        <v>46054</v>
      </c>
      <c r="B363" s="2" t="s">
        <v>95</v>
      </c>
      <c r="C363" s="2" t="s">
        <v>753</v>
      </c>
      <c r="D363" s="2" t="s">
        <v>800</v>
      </c>
      <c r="E363" s="2" t="s">
        <v>801</v>
      </c>
      <c r="F363" s="2" t="s">
        <v>802</v>
      </c>
      <c r="G363" s="2" t="s">
        <v>562</v>
      </c>
      <c r="H363" s="2" t="s">
        <v>24</v>
      </c>
      <c r="I363" s="6">
        <v>6</v>
      </c>
      <c r="J363" s="6">
        <v>414</v>
      </c>
      <c r="K363" s="6">
        <v>1180</v>
      </c>
      <c r="L363" s="6">
        <v>1230</v>
      </c>
      <c r="M363" s="6">
        <v>0</v>
      </c>
      <c r="N363" s="6">
        <v>0</v>
      </c>
      <c r="O363" s="6">
        <v>364</v>
      </c>
      <c r="P363" s="2" t="s">
        <v>25</v>
      </c>
      <c r="Q363" s="2" t="s">
        <v>32</v>
      </c>
      <c r="R363" s="2" t="s">
        <v>522</v>
      </c>
      <c r="S363" s="5">
        <v>1</v>
      </c>
      <c r="T363" s="1">
        <v>0</v>
      </c>
      <c r="U363" s="2">
        <f>T363+S363</f>
        <v>1</v>
      </c>
      <c r="V363" s="1">
        <v>0</v>
      </c>
      <c r="W363" s="2">
        <f t="shared" si="71"/>
        <v>1</v>
      </c>
      <c r="X363" s="8">
        <f t="shared" si="72"/>
        <v>100</v>
      </c>
    </row>
    <row r="364" spans="1:24" ht="15" customHeight="1">
      <c r="A364" s="9">
        <v>46054</v>
      </c>
      <c r="B364" s="2" t="s">
        <v>45</v>
      </c>
      <c r="C364" s="2" t="s">
        <v>803</v>
      </c>
      <c r="D364" s="2" t="s">
        <v>804</v>
      </c>
      <c r="E364" s="2" t="s">
        <v>117</v>
      </c>
      <c r="F364" s="2" t="s">
        <v>805</v>
      </c>
      <c r="G364" s="2" t="s">
        <v>65</v>
      </c>
      <c r="H364" s="2" t="s">
        <v>24</v>
      </c>
      <c r="I364" s="6">
        <v>29.84</v>
      </c>
      <c r="J364" s="6">
        <v>50</v>
      </c>
      <c r="K364" s="6">
        <v>1180</v>
      </c>
      <c r="L364" s="6">
        <v>1230</v>
      </c>
      <c r="M364" s="6">
        <v>0</v>
      </c>
      <c r="N364" s="6">
        <v>50</v>
      </c>
      <c r="O364" s="6">
        <v>50</v>
      </c>
      <c r="P364" s="2" t="s">
        <v>25</v>
      </c>
      <c r="Q364" s="2" t="s">
        <v>32</v>
      </c>
      <c r="R364" s="2" t="s">
        <v>27</v>
      </c>
      <c r="S364" s="5">
        <v>0</v>
      </c>
      <c r="T364" s="1">
        <v>1</v>
      </c>
      <c r="U364" s="2">
        <f>T364+S364</f>
        <v>1</v>
      </c>
      <c r="V364" s="1">
        <v>0</v>
      </c>
      <c r="W364" s="2">
        <f>V364+U364</f>
        <v>1</v>
      </c>
      <c r="X364" s="8">
        <v>100</v>
      </c>
    </row>
    <row r="365" spans="1:24" ht="15" customHeight="1">
      <c r="A365" s="9">
        <v>46054</v>
      </c>
      <c r="B365" s="2" t="s">
        <v>45</v>
      </c>
      <c r="C365" s="2" t="s">
        <v>803</v>
      </c>
      <c r="D365" s="2" t="s">
        <v>1732</v>
      </c>
      <c r="E365" s="2" t="s">
        <v>60</v>
      </c>
      <c r="F365" s="2" t="s">
        <v>1733</v>
      </c>
      <c r="G365" s="2" t="s">
        <v>490</v>
      </c>
      <c r="H365" s="2" t="s">
        <v>24</v>
      </c>
      <c r="I365" s="6">
        <v>29.84</v>
      </c>
      <c r="J365" s="6">
        <v>296633</v>
      </c>
      <c r="K365" s="6">
        <v>2854</v>
      </c>
      <c r="L365" s="6">
        <v>0</v>
      </c>
      <c r="M365" s="6">
        <v>0</v>
      </c>
      <c r="N365" s="6">
        <v>150</v>
      </c>
      <c r="O365" s="6">
        <v>299637</v>
      </c>
      <c r="P365" s="2" t="s">
        <v>25</v>
      </c>
      <c r="Q365" s="2" t="s">
        <v>32</v>
      </c>
      <c r="R365" s="2" t="s">
        <v>50</v>
      </c>
      <c r="S365" s="5">
        <v>1</v>
      </c>
      <c r="T365" s="1">
        <v>0</v>
      </c>
      <c r="U365" s="2">
        <f>T365+S365</f>
        <v>1</v>
      </c>
      <c r="V365" s="1">
        <v>0</v>
      </c>
      <c r="W365" s="2">
        <f t="shared" ref="W365:W370" si="73">V365+U365</f>
        <v>1</v>
      </c>
      <c r="X365" s="8">
        <f t="shared" ref="X365:X370" si="74">100/U365*S365</f>
        <v>100</v>
      </c>
    </row>
    <row r="366" spans="1:24" ht="15" customHeight="1">
      <c r="A366" s="9">
        <v>46054</v>
      </c>
      <c r="B366" s="2" t="s">
        <v>45</v>
      </c>
      <c r="C366" s="2" t="s">
        <v>803</v>
      </c>
      <c r="D366" s="2" t="s">
        <v>1734</v>
      </c>
      <c r="E366" s="2" t="s">
        <v>60</v>
      </c>
      <c r="F366" s="2" t="s">
        <v>1735</v>
      </c>
      <c r="G366" s="2" t="s">
        <v>1736</v>
      </c>
      <c r="H366" s="2" t="s">
        <v>24</v>
      </c>
      <c r="I366" s="6">
        <v>29.84</v>
      </c>
      <c r="J366" s="6">
        <v>583510</v>
      </c>
      <c r="K366" s="6">
        <v>86457</v>
      </c>
      <c r="L366" s="6">
        <v>0</v>
      </c>
      <c r="M366" s="6">
        <v>0</v>
      </c>
      <c r="N366" s="6">
        <v>10198</v>
      </c>
      <c r="O366" s="6">
        <v>680165</v>
      </c>
      <c r="P366" s="2" t="s">
        <v>25</v>
      </c>
      <c r="Q366" s="2" t="s">
        <v>32</v>
      </c>
      <c r="R366" s="2" t="s">
        <v>50</v>
      </c>
      <c r="S366" s="5">
        <v>1</v>
      </c>
      <c r="T366" s="1">
        <v>0</v>
      </c>
      <c r="U366" s="2">
        <f t="shared" ref="U366:U370" si="75">T366+S366</f>
        <v>1</v>
      </c>
      <c r="V366" s="1">
        <v>0</v>
      </c>
      <c r="W366" s="2">
        <f t="shared" si="73"/>
        <v>1</v>
      </c>
      <c r="X366" s="8">
        <f t="shared" si="74"/>
        <v>100</v>
      </c>
    </row>
    <row r="367" spans="1:24" ht="15" customHeight="1">
      <c r="A367" s="9">
        <v>46054</v>
      </c>
      <c r="B367" s="2" t="s">
        <v>45</v>
      </c>
      <c r="C367" s="2" t="s">
        <v>803</v>
      </c>
      <c r="D367" s="2" t="s">
        <v>806</v>
      </c>
      <c r="E367" s="2" t="s">
        <v>807</v>
      </c>
      <c r="F367" s="2" t="s">
        <v>808</v>
      </c>
      <c r="G367" s="2" t="s">
        <v>184</v>
      </c>
      <c r="H367" s="2" t="s">
        <v>24</v>
      </c>
      <c r="I367" s="6">
        <v>29.84</v>
      </c>
      <c r="J367" s="6">
        <v>50</v>
      </c>
      <c r="K367" s="6">
        <v>1180</v>
      </c>
      <c r="L367" s="6">
        <v>1230</v>
      </c>
      <c r="M367" s="6">
        <v>0</v>
      </c>
      <c r="N367" s="6">
        <v>50</v>
      </c>
      <c r="O367" s="6">
        <v>50</v>
      </c>
      <c r="P367" s="2" t="s">
        <v>25</v>
      </c>
      <c r="Q367" s="2" t="s">
        <v>32</v>
      </c>
      <c r="R367" s="2" t="s">
        <v>27</v>
      </c>
      <c r="S367" s="5">
        <v>0</v>
      </c>
      <c r="T367" s="1">
        <v>1</v>
      </c>
      <c r="U367" s="2">
        <f t="shared" si="75"/>
        <v>1</v>
      </c>
      <c r="V367" s="1">
        <v>0</v>
      </c>
      <c r="W367" s="2">
        <f t="shared" si="73"/>
        <v>1</v>
      </c>
      <c r="X367" s="8">
        <f t="shared" si="74"/>
        <v>0</v>
      </c>
    </row>
    <row r="368" spans="1:24" ht="15" customHeight="1">
      <c r="A368" s="9">
        <v>46054</v>
      </c>
      <c r="B368" s="2" t="s">
        <v>45</v>
      </c>
      <c r="C368" s="2" t="s">
        <v>803</v>
      </c>
      <c r="D368" s="2" t="s">
        <v>809</v>
      </c>
      <c r="E368" s="2" t="s">
        <v>475</v>
      </c>
      <c r="F368" s="2" t="s">
        <v>810</v>
      </c>
      <c r="G368" s="2" t="s">
        <v>184</v>
      </c>
      <c r="H368" s="2" t="s">
        <v>24</v>
      </c>
      <c r="I368" s="6">
        <v>200</v>
      </c>
      <c r="J368" s="6">
        <v>1723208</v>
      </c>
      <c r="K368" s="6">
        <v>20901789</v>
      </c>
      <c r="L368" s="6">
        <v>10533653</v>
      </c>
      <c r="M368" s="6">
        <v>0</v>
      </c>
      <c r="N368" s="6">
        <v>648957</v>
      </c>
      <c r="O368" s="6">
        <v>12740301</v>
      </c>
      <c r="P368" s="2" t="s">
        <v>25</v>
      </c>
      <c r="Q368" s="2" t="s">
        <v>32</v>
      </c>
      <c r="R368" s="2" t="s">
        <v>27</v>
      </c>
      <c r="S368" s="5">
        <v>1</v>
      </c>
      <c r="T368" s="1">
        <v>0</v>
      </c>
      <c r="U368" s="2">
        <f t="shared" si="75"/>
        <v>1</v>
      </c>
      <c r="V368" s="1">
        <v>0</v>
      </c>
      <c r="W368" s="2">
        <f t="shared" si="73"/>
        <v>1</v>
      </c>
      <c r="X368" s="8">
        <f t="shared" si="74"/>
        <v>100</v>
      </c>
    </row>
    <row r="369" spans="1:24" ht="15" customHeight="1">
      <c r="A369" s="9">
        <v>46054</v>
      </c>
      <c r="B369" s="2" t="s">
        <v>45</v>
      </c>
      <c r="C369" s="2" t="s">
        <v>803</v>
      </c>
      <c r="D369" s="2" t="s">
        <v>1737</v>
      </c>
      <c r="E369" s="2" t="s">
        <v>60</v>
      </c>
      <c r="F369" s="2" t="s">
        <v>1738</v>
      </c>
      <c r="G369" s="2" t="s">
        <v>1736</v>
      </c>
      <c r="H369" s="2" t="s">
        <v>24</v>
      </c>
      <c r="I369" s="6">
        <v>29.84</v>
      </c>
      <c r="J369" s="6">
        <v>5070</v>
      </c>
      <c r="K369" s="6">
        <v>1180</v>
      </c>
      <c r="L369" s="6">
        <v>0</v>
      </c>
      <c r="M369" s="6">
        <v>0</v>
      </c>
      <c r="N369" s="6">
        <v>150</v>
      </c>
      <c r="O369" s="6">
        <v>6400</v>
      </c>
      <c r="P369" s="2" t="s">
        <v>25</v>
      </c>
      <c r="Q369" s="2" t="s">
        <v>32</v>
      </c>
      <c r="R369" s="2" t="s">
        <v>50</v>
      </c>
      <c r="S369" s="5">
        <v>1</v>
      </c>
      <c r="T369" s="1">
        <v>0</v>
      </c>
      <c r="U369" s="2">
        <f t="shared" si="75"/>
        <v>1</v>
      </c>
      <c r="V369" s="1">
        <v>0</v>
      </c>
      <c r="W369" s="2">
        <f t="shared" si="73"/>
        <v>1</v>
      </c>
      <c r="X369" s="8">
        <f t="shared" si="74"/>
        <v>100</v>
      </c>
    </row>
    <row r="370" spans="1:24" ht="15" customHeight="1">
      <c r="A370" s="9">
        <v>46054</v>
      </c>
      <c r="B370" s="2" t="s">
        <v>45</v>
      </c>
      <c r="C370" s="2" t="s">
        <v>803</v>
      </c>
      <c r="D370" s="2" t="s">
        <v>811</v>
      </c>
      <c r="E370" s="2" t="s">
        <v>812</v>
      </c>
      <c r="F370" s="2" t="s">
        <v>813</v>
      </c>
      <c r="G370" s="2" t="s">
        <v>814</v>
      </c>
      <c r="H370" s="2" t="s">
        <v>24</v>
      </c>
      <c r="I370" s="6">
        <v>22.38</v>
      </c>
      <c r="J370" s="6">
        <v>42823</v>
      </c>
      <c r="K370" s="6">
        <v>267450</v>
      </c>
      <c r="L370" s="6">
        <v>17581</v>
      </c>
      <c r="M370" s="6">
        <v>0</v>
      </c>
      <c r="N370" s="6">
        <v>12640</v>
      </c>
      <c r="O370" s="6">
        <v>305332</v>
      </c>
      <c r="P370" s="2" t="s">
        <v>25</v>
      </c>
      <c r="Q370" s="2" t="s">
        <v>32</v>
      </c>
      <c r="R370" s="2" t="s">
        <v>27</v>
      </c>
      <c r="S370" s="5">
        <v>1</v>
      </c>
      <c r="T370" s="1">
        <v>0</v>
      </c>
      <c r="U370" s="2">
        <f t="shared" si="75"/>
        <v>1</v>
      </c>
      <c r="V370" s="1">
        <v>0</v>
      </c>
      <c r="W370" s="2">
        <f t="shared" si="73"/>
        <v>1</v>
      </c>
      <c r="X370" s="8">
        <f t="shared" si="74"/>
        <v>100</v>
      </c>
    </row>
    <row r="371" spans="1:24" ht="15" customHeight="1">
      <c r="A371" s="9">
        <v>46054</v>
      </c>
      <c r="B371" s="2" t="s">
        <v>45</v>
      </c>
      <c r="C371" s="2" t="s">
        <v>803</v>
      </c>
      <c r="D371" s="2" t="s">
        <v>815</v>
      </c>
      <c r="E371" s="2" t="s">
        <v>475</v>
      </c>
      <c r="F371" s="2" t="s">
        <v>816</v>
      </c>
      <c r="G371" s="2" t="s">
        <v>184</v>
      </c>
      <c r="H371" s="2" t="s">
        <v>24</v>
      </c>
      <c r="I371" s="6">
        <v>29.84</v>
      </c>
      <c r="J371" s="6">
        <v>2</v>
      </c>
      <c r="K371" s="6">
        <v>71689</v>
      </c>
      <c r="L371" s="6">
        <v>71691</v>
      </c>
      <c r="M371" s="6">
        <v>0</v>
      </c>
      <c r="N371" s="6">
        <v>2997</v>
      </c>
      <c r="O371" s="6">
        <v>2997</v>
      </c>
      <c r="P371" s="2" t="s">
        <v>25</v>
      </c>
      <c r="Q371" s="2" t="s">
        <v>32</v>
      </c>
      <c r="R371" s="2" t="s">
        <v>27</v>
      </c>
      <c r="S371" s="5">
        <v>1</v>
      </c>
      <c r="T371" s="1">
        <v>0</v>
      </c>
      <c r="U371" s="2">
        <f>T371+S371</f>
        <v>1</v>
      </c>
      <c r="V371" s="1">
        <v>0</v>
      </c>
      <c r="W371" s="2">
        <f t="shared" ref="W371:W434" si="76">V371+U371</f>
        <v>1</v>
      </c>
      <c r="X371" s="8">
        <v>0</v>
      </c>
    </row>
    <row r="372" spans="1:24" ht="15" customHeight="1">
      <c r="A372" s="9">
        <v>46054</v>
      </c>
      <c r="B372" s="2" t="s">
        <v>45</v>
      </c>
      <c r="C372" s="2" t="s">
        <v>803</v>
      </c>
      <c r="D372" s="2" t="s">
        <v>817</v>
      </c>
      <c r="E372" s="2" t="s">
        <v>475</v>
      </c>
      <c r="F372" s="2" t="s">
        <v>818</v>
      </c>
      <c r="G372" s="2" t="s">
        <v>184</v>
      </c>
      <c r="H372" s="2" t="s">
        <v>24</v>
      </c>
      <c r="I372" s="6">
        <v>29.84</v>
      </c>
      <c r="J372" s="6">
        <v>1516671</v>
      </c>
      <c r="K372" s="6">
        <v>1180</v>
      </c>
      <c r="L372" s="6">
        <v>0</v>
      </c>
      <c r="M372" s="6">
        <v>0</v>
      </c>
      <c r="N372" s="6">
        <v>150</v>
      </c>
      <c r="O372" s="6">
        <v>1518001</v>
      </c>
      <c r="P372" s="2" t="s">
        <v>25</v>
      </c>
      <c r="Q372" s="2" t="s">
        <v>32</v>
      </c>
      <c r="R372" s="2" t="s">
        <v>27</v>
      </c>
      <c r="S372" s="5">
        <v>1</v>
      </c>
      <c r="T372" s="1">
        <v>0</v>
      </c>
      <c r="U372" s="2">
        <f>T372+S372</f>
        <v>1</v>
      </c>
      <c r="V372" s="1">
        <v>0</v>
      </c>
      <c r="W372" s="2">
        <f>V372+U372</f>
        <v>1</v>
      </c>
      <c r="X372" s="8">
        <v>0</v>
      </c>
    </row>
    <row r="373" spans="1:24" ht="15" customHeight="1">
      <c r="A373" s="9">
        <v>46054</v>
      </c>
      <c r="B373" s="2" t="s">
        <v>45</v>
      </c>
      <c r="C373" s="2" t="s">
        <v>803</v>
      </c>
      <c r="D373" s="2" t="s">
        <v>819</v>
      </c>
      <c r="E373" s="2" t="s">
        <v>475</v>
      </c>
      <c r="F373" s="2" t="s">
        <v>820</v>
      </c>
      <c r="G373" s="2" t="s">
        <v>821</v>
      </c>
      <c r="H373" s="2" t="s">
        <v>24</v>
      </c>
      <c r="I373" s="6">
        <v>29.84</v>
      </c>
      <c r="J373" s="6">
        <v>104227</v>
      </c>
      <c r="K373" s="6">
        <v>800924</v>
      </c>
      <c r="L373" s="6">
        <v>213381</v>
      </c>
      <c r="M373" s="6">
        <v>0</v>
      </c>
      <c r="N373" s="6">
        <v>36962</v>
      </c>
      <c r="O373" s="6">
        <v>728732</v>
      </c>
      <c r="P373" s="2" t="s">
        <v>25</v>
      </c>
      <c r="Q373" s="2" t="s">
        <v>32</v>
      </c>
      <c r="R373" s="2" t="s">
        <v>27</v>
      </c>
      <c r="S373" s="5">
        <v>1</v>
      </c>
      <c r="T373" s="1">
        <v>0</v>
      </c>
      <c r="U373" s="2">
        <f>T373+S373</f>
        <v>1</v>
      </c>
      <c r="V373" s="1">
        <v>0</v>
      </c>
      <c r="W373" s="2">
        <f t="shared" si="76"/>
        <v>1</v>
      </c>
      <c r="X373" s="8">
        <f t="shared" ref="X373:X436" si="77">100/U373*S373</f>
        <v>100</v>
      </c>
    </row>
    <row r="374" spans="1:24" ht="15" customHeight="1">
      <c r="A374" s="9">
        <v>46054</v>
      </c>
      <c r="B374" s="2" t="s">
        <v>45</v>
      </c>
      <c r="C374" s="2" t="s">
        <v>803</v>
      </c>
      <c r="D374" s="2" t="s">
        <v>822</v>
      </c>
      <c r="E374" s="2" t="s">
        <v>807</v>
      </c>
      <c r="F374" s="2" t="s">
        <v>823</v>
      </c>
      <c r="G374" s="2" t="s">
        <v>824</v>
      </c>
      <c r="H374" s="2" t="s">
        <v>24</v>
      </c>
      <c r="I374" s="6">
        <v>37.07</v>
      </c>
      <c r="J374" s="6">
        <v>14518</v>
      </c>
      <c r="K374" s="6">
        <v>275136</v>
      </c>
      <c r="L374" s="6">
        <v>-105986</v>
      </c>
      <c r="M374" s="6">
        <v>0</v>
      </c>
      <c r="N374" s="6">
        <v>11515</v>
      </c>
      <c r="O374" s="6">
        <v>407155</v>
      </c>
      <c r="P374" s="2" t="s">
        <v>25</v>
      </c>
      <c r="Q374" s="2" t="s">
        <v>32</v>
      </c>
      <c r="R374" s="2" t="s">
        <v>27</v>
      </c>
      <c r="S374" s="5">
        <v>0</v>
      </c>
      <c r="T374" s="1">
        <v>1</v>
      </c>
      <c r="U374" s="2">
        <f>T374+S374</f>
        <v>1</v>
      </c>
      <c r="V374" s="1">
        <v>0</v>
      </c>
      <c r="W374" s="2">
        <f t="shared" si="76"/>
        <v>1</v>
      </c>
      <c r="X374" s="8">
        <f t="shared" si="77"/>
        <v>0</v>
      </c>
    </row>
    <row r="375" spans="1:24" ht="15" customHeight="1">
      <c r="A375" s="9">
        <v>46054</v>
      </c>
      <c r="B375" s="2" t="s">
        <v>45</v>
      </c>
      <c r="C375" s="2" t="s">
        <v>803</v>
      </c>
      <c r="D375" s="2" t="s">
        <v>825</v>
      </c>
      <c r="E375" s="2" t="s">
        <v>475</v>
      </c>
      <c r="F375" s="2" t="s">
        <v>826</v>
      </c>
      <c r="G375" s="2" t="s">
        <v>184</v>
      </c>
      <c r="H375" s="2" t="s">
        <v>24</v>
      </c>
      <c r="I375" s="6">
        <v>29.84</v>
      </c>
      <c r="J375" s="6">
        <v>67593</v>
      </c>
      <c r="K375" s="6">
        <v>1180</v>
      </c>
      <c r="L375" s="6">
        <v>0</v>
      </c>
      <c r="M375" s="6">
        <v>0</v>
      </c>
      <c r="N375" s="6">
        <v>150</v>
      </c>
      <c r="O375" s="6">
        <v>68923</v>
      </c>
      <c r="P375" s="2" t="s">
        <v>25</v>
      </c>
      <c r="Q375" s="2" t="s">
        <v>32</v>
      </c>
      <c r="R375" s="2" t="s">
        <v>27</v>
      </c>
      <c r="S375" s="5">
        <v>0</v>
      </c>
      <c r="T375" s="1">
        <v>1</v>
      </c>
      <c r="U375" s="2">
        <f t="shared" ref="U375:U434" si="78">T375+S375</f>
        <v>1</v>
      </c>
      <c r="V375" s="1">
        <v>0</v>
      </c>
      <c r="W375" s="2">
        <f t="shared" si="76"/>
        <v>1</v>
      </c>
      <c r="X375" s="8">
        <f t="shared" si="77"/>
        <v>0</v>
      </c>
    </row>
    <row r="376" spans="1:24" ht="15" customHeight="1">
      <c r="A376" s="9">
        <v>46054</v>
      </c>
      <c r="B376" s="2" t="s">
        <v>45</v>
      </c>
      <c r="C376" s="2" t="s">
        <v>803</v>
      </c>
      <c r="D376" s="2" t="s">
        <v>827</v>
      </c>
      <c r="E376" s="2" t="s">
        <v>828</v>
      </c>
      <c r="F376" s="2" t="s">
        <v>829</v>
      </c>
      <c r="G376" s="2" t="s">
        <v>830</v>
      </c>
      <c r="H376" s="2" t="s">
        <v>24</v>
      </c>
      <c r="I376" s="6">
        <v>37.299999999999997</v>
      </c>
      <c r="J376" s="6">
        <v>1286904</v>
      </c>
      <c r="K376" s="6">
        <v>1180</v>
      </c>
      <c r="L376" s="6">
        <v>0</v>
      </c>
      <c r="M376" s="6">
        <v>0</v>
      </c>
      <c r="N376" s="6">
        <v>150</v>
      </c>
      <c r="O376" s="6">
        <v>1288234</v>
      </c>
      <c r="P376" s="2" t="s">
        <v>31</v>
      </c>
      <c r="Q376" s="2" t="s">
        <v>32</v>
      </c>
      <c r="R376" s="2" t="s">
        <v>66</v>
      </c>
      <c r="S376" s="5">
        <v>1</v>
      </c>
      <c r="T376" s="1">
        <v>0</v>
      </c>
      <c r="U376" s="2">
        <f t="shared" ref="U376:U382" si="79">T376+S376</f>
        <v>1</v>
      </c>
      <c r="V376" s="1">
        <v>0</v>
      </c>
      <c r="W376" s="2">
        <f t="shared" si="76"/>
        <v>1</v>
      </c>
      <c r="X376" s="8">
        <f t="shared" si="77"/>
        <v>100</v>
      </c>
    </row>
    <row r="377" spans="1:24" ht="15" customHeight="1">
      <c r="A377" s="9">
        <v>46054</v>
      </c>
      <c r="B377" s="2" t="s">
        <v>45</v>
      </c>
      <c r="C377" s="2" t="s">
        <v>803</v>
      </c>
      <c r="D377" s="2" t="s">
        <v>831</v>
      </c>
      <c r="E377" s="2" t="s">
        <v>475</v>
      </c>
      <c r="F377" s="2" t="s">
        <v>832</v>
      </c>
      <c r="G377" s="2" t="s">
        <v>184</v>
      </c>
      <c r="H377" s="2" t="s">
        <v>24</v>
      </c>
      <c r="I377" s="6">
        <v>29.84</v>
      </c>
      <c r="J377" s="6">
        <v>6572</v>
      </c>
      <c r="K377" s="6">
        <v>145976</v>
      </c>
      <c r="L377" s="6">
        <v>-108402</v>
      </c>
      <c r="M377" s="6">
        <v>0</v>
      </c>
      <c r="N377" s="6">
        <v>6081</v>
      </c>
      <c r="O377" s="6">
        <v>267031</v>
      </c>
      <c r="P377" s="2" t="s">
        <v>25</v>
      </c>
      <c r="Q377" s="2" t="s">
        <v>32</v>
      </c>
      <c r="R377" s="2" t="s">
        <v>27</v>
      </c>
      <c r="S377" s="5">
        <v>1</v>
      </c>
      <c r="T377" s="1">
        <v>0</v>
      </c>
      <c r="U377" s="2">
        <f t="shared" si="79"/>
        <v>1</v>
      </c>
      <c r="V377" s="1">
        <v>0</v>
      </c>
      <c r="W377" s="2">
        <f t="shared" si="76"/>
        <v>1</v>
      </c>
      <c r="X377" s="8">
        <f t="shared" si="77"/>
        <v>100</v>
      </c>
    </row>
    <row r="378" spans="1:24" ht="15" customHeight="1">
      <c r="A378" s="9">
        <v>46054</v>
      </c>
      <c r="B378" s="2" t="s">
        <v>45</v>
      </c>
      <c r="C378" s="2" t="s">
        <v>803</v>
      </c>
      <c r="D378" s="2" t="s">
        <v>1468</v>
      </c>
      <c r="E378" s="2" t="s">
        <v>60</v>
      </c>
      <c r="F378" s="2" t="s">
        <v>1469</v>
      </c>
      <c r="G378" s="2" t="s">
        <v>1470</v>
      </c>
      <c r="H378" s="2" t="s">
        <v>24</v>
      </c>
      <c r="I378" s="6">
        <v>29.84</v>
      </c>
      <c r="J378" s="6">
        <v>169648</v>
      </c>
      <c r="K378" s="6">
        <v>1180</v>
      </c>
      <c r="L378" s="6">
        <v>170878</v>
      </c>
      <c r="M378" s="6">
        <v>0</v>
      </c>
      <c r="N378" s="6">
        <v>50</v>
      </c>
      <c r="O378" s="6">
        <v>0</v>
      </c>
      <c r="P378" s="2" t="s">
        <v>25</v>
      </c>
      <c r="Q378" s="2" t="s">
        <v>32</v>
      </c>
      <c r="R378" s="2" t="s">
        <v>50</v>
      </c>
      <c r="S378" s="5">
        <v>0</v>
      </c>
      <c r="T378" s="1">
        <v>1</v>
      </c>
      <c r="U378" s="2">
        <f t="shared" si="79"/>
        <v>1</v>
      </c>
      <c r="V378" s="1">
        <v>0</v>
      </c>
      <c r="W378" s="2">
        <f t="shared" si="76"/>
        <v>1</v>
      </c>
      <c r="X378" s="8">
        <f t="shared" si="77"/>
        <v>0</v>
      </c>
    </row>
    <row r="379" spans="1:24" ht="15" customHeight="1">
      <c r="A379" s="9">
        <v>46054</v>
      </c>
      <c r="B379" s="2" t="s">
        <v>45</v>
      </c>
      <c r="C379" s="2" t="s">
        <v>803</v>
      </c>
      <c r="D379" s="2" t="s">
        <v>833</v>
      </c>
      <c r="E379" s="2" t="s">
        <v>35</v>
      </c>
      <c r="F379" s="2" t="s">
        <v>834</v>
      </c>
      <c r="G379" s="2" t="s">
        <v>835</v>
      </c>
      <c r="H379" s="2" t="s">
        <v>24</v>
      </c>
      <c r="I379" s="6">
        <v>29.84</v>
      </c>
      <c r="J379" s="6">
        <v>131618</v>
      </c>
      <c r="K379" s="6">
        <v>0</v>
      </c>
      <c r="L379" s="6">
        <v>0</v>
      </c>
      <c r="M379" s="6">
        <v>0</v>
      </c>
      <c r="N379" s="6">
        <v>0</v>
      </c>
      <c r="O379" s="6">
        <v>131618</v>
      </c>
      <c r="P379" s="2" t="s">
        <v>40</v>
      </c>
      <c r="Q379" s="2" t="s">
        <v>26</v>
      </c>
      <c r="R379" s="2" t="s">
        <v>66</v>
      </c>
      <c r="S379" s="5">
        <v>0</v>
      </c>
      <c r="T379" s="1">
        <v>0</v>
      </c>
      <c r="U379" s="2">
        <f>T379+S379</f>
        <v>0</v>
      </c>
      <c r="V379" s="1">
        <v>1</v>
      </c>
      <c r="W379" s="2">
        <f t="shared" si="76"/>
        <v>1</v>
      </c>
      <c r="X379" s="8" t="e">
        <f t="shared" si="77"/>
        <v>#DIV/0!</v>
      </c>
    </row>
    <row r="380" spans="1:24" ht="15" customHeight="1">
      <c r="A380" s="9">
        <v>46054</v>
      </c>
      <c r="B380" s="2" t="s">
        <v>45</v>
      </c>
      <c r="C380" s="2" t="s">
        <v>803</v>
      </c>
      <c r="D380" s="2" t="s">
        <v>836</v>
      </c>
      <c r="E380" s="2" t="s">
        <v>475</v>
      </c>
      <c r="F380" s="2" t="s">
        <v>837</v>
      </c>
      <c r="G380" s="2" t="s">
        <v>471</v>
      </c>
      <c r="H380" s="2" t="s">
        <v>24</v>
      </c>
      <c r="I380" s="6">
        <v>29.84</v>
      </c>
      <c r="J380" s="6">
        <v>50</v>
      </c>
      <c r="K380" s="6">
        <v>1180</v>
      </c>
      <c r="L380" s="6">
        <v>1230</v>
      </c>
      <c r="M380" s="6">
        <v>0</v>
      </c>
      <c r="N380" s="6">
        <v>50</v>
      </c>
      <c r="O380" s="6">
        <v>50</v>
      </c>
      <c r="P380" s="2" t="s">
        <v>25</v>
      </c>
      <c r="Q380" s="2" t="s">
        <v>32</v>
      </c>
      <c r="R380" s="2" t="s">
        <v>27</v>
      </c>
      <c r="S380" s="5">
        <v>0</v>
      </c>
      <c r="T380" s="1">
        <v>1</v>
      </c>
      <c r="U380" s="2">
        <f t="shared" si="79"/>
        <v>1</v>
      </c>
      <c r="V380" s="1">
        <v>0</v>
      </c>
      <c r="W380" s="2">
        <f t="shared" si="76"/>
        <v>1</v>
      </c>
      <c r="X380" s="8">
        <f t="shared" si="77"/>
        <v>0</v>
      </c>
    </row>
    <row r="381" spans="1:24" ht="15" customHeight="1">
      <c r="A381" s="9">
        <v>46054</v>
      </c>
      <c r="B381" s="2" t="s">
        <v>45</v>
      </c>
      <c r="C381" s="2" t="s">
        <v>803</v>
      </c>
      <c r="D381" s="2" t="s">
        <v>838</v>
      </c>
      <c r="E381" s="2" t="s">
        <v>117</v>
      </c>
      <c r="F381" s="2" t="s">
        <v>839</v>
      </c>
      <c r="G381" s="2" t="s">
        <v>840</v>
      </c>
      <c r="H381" s="2" t="s">
        <v>24</v>
      </c>
      <c r="I381" s="6">
        <v>30</v>
      </c>
      <c r="J381" s="6">
        <v>461175</v>
      </c>
      <c r="K381" s="6">
        <v>0</v>
      </c>
      <c r="L381" s="6">
        <v>0</v>
      </c>
      <c r="M381" s="6">
        <v>0</v>
      </c>
      <c r="N381" s="6">
        <v>0</v>
      </c>
      <c r="O381" s="6">
        <v>461175</v>
      </c>
      <c r="P381" s="2" t="s">
        <v>25</v>
      </c>
      <c r="Q381" s="2" t="s">
        <v>26</v>
      </c>
      <c r="R381" s="2" t="s">
        <v>652</v>
      </c>
      <c r="S381" s="5">
        <v>0</v>
      </c>
      <c r="T381" s="1">
        <v>0</v>
      </c>
      <c r="U381" s="2">
        <f>T381+S381</f>
        <v>0</v>
      </c>
      <c r="V381" s="1">
        <v>1</v>
      </c>
      <c r="W381" s="2">
        <f t="shared" si="76"/>
        <v>1</v>
      </c>
      <c r="X381" s="8" t="e">
        <f t="shared" si="77"/>
        <v>#DIV/0!</v>
      </c>
    </row>
    <row r="382" spans="1:24" ht="15" customHeight="1">
      <c r="A382" s="9">
        <v>46054</v>
      </c>
      <c r="B382" s="2" t="s">
        <v>45</v>
      </c>
      <c r="C382" s="2" t="s">
        <v>803</v>
      </c>
      <c r="D382" s="2" t="s">
        <v>841</v>
      </c>
      <c r="E382" s="2" t="s">
        <v>475</v>
      </c>
      <c r="F382" s="2" t="s">
        <v>842</v>
      </c>
      <c r="G382" s="2" t="s">
        <v>843</v>
      </c>
      <c r="H382" s="2" t="s">
        <v>24</v>
      </c>
      <c r="I382" s="6">
        <v>29.84</v>
      </c>
      <c r="J382" s="6">
        <v>425802</v>
      </c>
      <c r="K382" s="6">
        <v>1180</v>
      </c>
      <c r="L382" s="6">
        <v>0</v>
      </c>
      <c r="M382" s="6">
        <v>0</v>
      </c>
      <c r="N382" s="6">
        <v>150</v>
      </c>
      <c r="O382" s="6">
        <v>427132</v>
      </c>
      <c r="P382" s="2" t="s">
        <v>25</v>
      </c>
      <c r="Q382" s="2" t="s">
        <v>32</v>
      </c>
      <c r="R382" s="2" t="s">
        <v>27</v>
      </c>
      <c r="S382" s="5">
        <v>0</v>
      </c>
      <c r="T382" s="1">
        <v>1</v>
      </c>
      <c r="U382" s="2">
        <f t="shared" si="79"/>
        <v>1</v>
      </c>
      <c r="V382" s="1">
        <v>0</v>
      </c>
      <c r="W382" s="2">
        <f t="shared" si="76"/>
        <v>1</v>
      </c>
      <c r="X382" s="8">
        <f t="shared" si="77"/>
        <v>0</v>
      </c>
    </row>
    <row r="383" spans="1:24" ht="15" customHeight="1">
      <c r="A383" s="9">
        <v>46054</v>
      </c>
      <c r="B383" s="2" t="s">
        <v>45</v>
      </c>
      <c r="C383" s="2" t="s">
        <v>803</v>
      </c>
      <c r="D383" s="2" t="s">
        <v>844</v>
      </c>
      <c r="E383" s="2" t="s">
        <v>475</v>
      </c>
      <c r="F383" s="2" t="s">
        <v>845</v>
      </c>
      <c r="G383" s="2" t="s">
        <v>846</v>
      </c>
      <c r="H383" s="2" t="s">
        <v>24</v>
      </c>
      <c r="I383" s="6">
        <v>30</v>
      </c>
      <c r="J383" s="6">
        <v>50</v>
      </c>
      <c r="K383" s="6">
        <v>1180</v>
      </c>
      <c r="L383" s="6">
        <v>1230</v>
      </c>
      <c r="M383" s="6">
        <v>0</v>
      </c>
      <c r="N383" s="6">
        <v>50</v>
      </c>
      <c r="O383" s="6">
        <v>50</v>
      </c>
      <c r="P383" s="2" t="s">
        <v>25</v>
      </c>
      <c r="Q383" s="2" t="s">
        <v>32</v>
      </c>
      <c r="R383" s="2" t="s">
        <v>27</v>
      </c>
      <c r="S383" s="5">
        <v>0</v>
      </c>
      <c r="T383" s="1">
        <v>1</v>
      </c>
      <c r="U383" s="2">
        <f t="shared" ref="U383" si="80">T383+S383</f>
        <v>1</v>
      </c>
      <c r="V383" s="1">
        <v>0</v>
      </c>
      <c r="W383" s="2">
        <f t="shared" si="76"/>
        <v>1</v>
      </c>
      <c r="X383" s="8">
        <f t="shared" si="77"/>
        <v>0</v>
      </c>
    </row>
    <row r="384" spans="1:24" ht="15" customHeight="1">
      <c r="A384" s="9">
        <v>46054</v>
      </c>
      <c r="B384" s="2" t="s">
        <v>45</v>
      </c>
      <c r="C384" s="2" t="s">
        <v>803</v>
      </c>
      <c r="D384" s="2" t="s">
        <v>847</v>
      </c>
      <c r="E384" s="2" t="s">
        <v>475</v>
      </c>
      <c r="F384" s="2" t="s">
        <v>848</v>
      </c>
      <c r="G384" s="2" t="s">
        <v>849</v>
      </c>
      <c r="H384" s="2" t="s">
        <v>24</v>
      </c>
      <c r="I384" s="6">
        <v>30</v>
      </c>
      <c r="J384" s="6">
        <v>406328</v>
      </c>
      <c r="K384" s="6">
        <v>76111</v>
      </c>
      <c r="L384" s="6">
        <v>0</v>
      </c>
      <c r="M384" s="6">
        <v>0</v>
      </c>
      <c r="N384" s="6">
        <v>10334</v>
      </c>
      <c r="O384" s="6">
        <v>492773</v>
      </c>
      <c r="P384" s="2" t="s">
        <v>25</v>
      </c>
      <c r="Q384" s="2" t="s">
        <v>32</v>
      </c>
      <c r="R384" s="2" t="s">
        <v>27</v>
      </c>
      <c r="S384" s="5">
        <v>1</v>
      </c>
      <c r="T384" s="1">
        <v>0</v>
      </c>
      <c r="U384" s="2">
        <f t="shared" si="78"/>
        <v>1</v>
      </c>
      <c r="V384" s="1">
        <v>0</v>
      </c>
      <c r="W384" s="2">
        <f t="shared" si="76"/>
        <v>1</v>
      </c>
      <c r="X384" s="8">
        <f t="shared" si="77"/>
        <v>100</v>
      </c>
    </row>
    <row r="385" spans="1:24" ht="15" customHeight="1">
      <c r="A385" s="9">
        <v>46054</v>
      </c>
      <c r="B385" s="2" t="s">
        <v>45</v>
      </c>
      <c r="C385" s="2" t="s">
        <v>803</v>
      </c>
      <c r="D385" s="2" t="s">
        <v>850</v>
      </c>
      <c r="E385" s="2" t="s">
        <v>851</v>
      </c>
      <c r="F385" s="2" t="s">
        <v>852</v>
      </c>
      <c r="G385" s="2" t="s">
        <v>853</v>
      </c>
      <c r="H385" s="2" t="s">
        <v>24</v>
      </c>
      <c r="I385" s="6">
        <v>30</v>
      </c>
      <c r="J385" s="6">
        <v>55078</v>
      </c>
      <c r="K385" s="6">
        <v>1180</v>
      </c>
      <c r="L385" s="6">
        <v>0</v>
      </c>
      <c r="M385" s="6">
        <v>0</v>
      </c>
      <c r="N385" s="6">
        <v>150</v>
      </c>
      <c r="O385" s="6">
        <v>56408</v>
      </c>
      <c r="P385" s="2" t="s">
        <v>40</v>
      </c>
      <c r="Q385" s="2" t="s">
        <v>32</v>
      </c>
      <c r="R385" s="2" t="s">
        <v>652</v>
      </c>
      <c r="S385" s="5">
        <v>1</v>
      </c>
      <c r="T385" s="1">
        <v>0</v>
      </c>
      <c r="U385" s="2">
        <f>T385+S385</f>
        <v>1</v>
      </c>
      <c r="V385" s="1">
        <v>0</v>
      </c>
      <c r="W385" s="2">
        <f t="shared" si="76"/>
        <v>1</v>
      </c>
      <c r="X385" s="8">
        <f t="shared" si="77"/>
        <v>100</v>
      </c>
    </row>
    <row r="386" spans="1:24" ht="15" customHeight="1">
      <c r="A386" s="9">
        <v>46054</v>
      </c>
      <c r="B386" s="2" t="s">
        <v>45</v>
      </c>
      <c r="C386" s="2" t="s">
        <v>803</v>
      </c>
      <c r="D386" s="2" t="s">
        <v>1471</v>
      </c>
      <c r="E386" s="2" t="s">
        <v>767</v>
      </c>
      <c r="F386" s="2" t="s">
        <v>1472</v>
      </c>
      <c r="G386" s="2" t="s">
        <v>1473</v>
      </c>
      <c r="H386" s="2" t="s">
        <v>24</v>
      </c>
      <c r="I386" s="6">
        <v>30</v>
      </c>
      <c r="J386" s="6">
        <v>3826</v>
      </c>
      <c r="K386" s="6">
        <v>100836</v>
      </c>
      <c r="L386" s="6">
        <v>104662</v>
      </c>
      <c r="M386" s="6">
        <v>0</v>
      </c>
      <c r="N386" s="6">
        <v>0</v>
      </c>
      <c r="O386" s="6">
        <v>0</v>
      </c>
      <c r="P386" s="2" t="s">
        <v>25</v>
      </c>
      <c r="Q386" s="2" t="s">
        <v>32</v>
      </c>
      <c r="R386" s="2" t="s">
        <v>50</v>
      </c>
      <c r="S386" s="5">
        <v>1</v>
      </c>
      <c r="T386" s="1">
        <v>0</v>
      </c>
      <c r="U386" s="2">
        <f>T386+S386</f>
        <v>1</v>
      </c>
      <c r="V386" s="1">
        <v>0</v>
      </c>
      <c r="W386" s="2">
        <f t="shared" si="76"/>
        <v>1</v>
      </c>
      <c r="X386" s="8">
        <f t="shared" si="77"/>
        <v>100</v>
      </c>
    </row>
    <row r="387" spans="1:24" ht="15" customHeight="1">
      <c r="A387" s="9">
        <v>46054</v>
      </c>
      <c r="B387" s="2" t="s">
        <v>45</v>
      </c>
      <c r="C387" s="2" t="s">
        <v>803</v>
      </c>
      <c r="D387" s="2" t="s">
        <v>854</v>
      </c>
      <c r="E387" s="2" t="s">
        <v>855</v>
      </c>
      <c r="F387" s="2" t="s">
        <v>88</v>
      </c>
      <c r="G387" s="2" t="s">
        <v>856</v>
      </c>
      <c r="H387" s="2" t="s">
        <v>24</v>
      </c>
      <c r="I387" s="6">
        <v>29.84</v>
      </c>
      <c r="J387" s="6">
        <v>460683</v>
      </c>
      <c r="K387" s="6">
        <v>0</v>
      </c>
      <c r="L387" s="6">
        <v>0</v>
      </c>
      <c r="M387" s="6">
        <v>0</v>
      </c>
      <c r="N387" s="6">
        <v>0</v>
      </c>
      <c r="O387" s="6">
        <v>460683</v>
      </c>
      <c r="P387" s="2" t="s">
        <v>40</v>
      </c>
      <c r="Q387" s="2" t="s">
        <v>26</v>
      </c>
      <c r="R387" s="2" t="s">
        <v>66</v>
      </c>
      <c r="S387" s="5">
        <v>0</v>
      </c>
      <c r="T387" s="1">
        <v>0</v>
      </c>
      <c r="U387" s="2">
        <f>T387+S387</f>
        <v>0</v>
      </c>
      <c r="V387" s="1">
        <v>1</v>
      </c>
      <c r="W387" s="2">
        <f t="shared" si="76"/>
        <v>1</v>
      </c>
      <c r="X387" s="8" t="e">
        <f t="shared" si="77"/>
        <v>#DIV/0!</v>
      </c>
    </row>
    <row r="388" spans="1:24" ht="15" customHeight="1">
      <c r="A388" s="9">
        <v>46054</v>
      </c>
      <c r="B388" s="2" t="s">
        <v>45</v>
      </c>
      <c r="C388" s="2" t="s">
        <v>803</v>
      </c>
      <c r="D388" s="2" t="s">
        <v>1720</v>
      </c>
      <c r="E388" s="2" t="s">
        <v>767</v>
      </c>
      <c r="F388" s="2" t="s">
        <v>1721</v>
      </c>
      <c r="G388" s="2" t="s">
        <v>1722</v>
      </c>
      <c r="H388" s="2" t="s">
        <v>24</v>
      </c>
      <c r="I388" s="6">
        <v>29.84</v>
      </c>
      <c r="J388" s="6">
        <v>37761</v>
      </c>
      <c r="K388" s="6">
        <v>169733</v>
      </c>
      <c r="L388" s="6">
        <v>208337</v>
      </c>
      <c r="M388" s="6">
        <v>0</v>
      </c>
      <c r="N388" s="6">
        <v>843</v>
      </c>
      <c r="O388" s="6">
        <v>0</v>
      </c>
      <c r="P388" s="2" t="s">
        <v>25</v>
      </c>
      <c r="Q388" s="2" t="s">
        <v>32</v>
      </c>
      <c r="R388" s="2" t="s">
        <v>50</v>
      </c>
      <c r="S388" s="5">
        <v>1</v>
      </c>
      <c r="T388" s="1">
        <v>0</v>
      </c>
      <c r="U388" s="2">
        <f t="shared" ref="U388" si="81">T388+S388</f>
        <v>1</v>
      </c>
      <c r="V388" s="1">
        <v>0</v>
      </c>
      <c r="W388" s="2">
        <f t="shared" si="76"/>
        <v>1</v>
      </c>
      <c r="X388" s="8">
        <f t="shared" si="77"/>
        <v>100</v>
      </c>
    </row>
    <row r="389" spans="1:24" ht="15" customHeight="1">
      <c r="A389" s="9">
        <v>46054</v>
      </c>
      <c r="B389" s="2" t="s">
        <v>45</v>
      </c>
      <c r="C389" s="2" t="s">
        <v>803</v>
      </c>
      <c r="D389" s="2" t="s">
        <v>1606</v>
      </c>
      <c r="E389" s="2" t="s">
        <v>60</v>
      </c>
      <c r="F389" s="2" t="s">
        <v>1607</v>
      </c>
      <c r="G389" s="2" t="s">
        <v>1608</v>
      </c>
      <c r="H389" s="2" t="s">
        <v>24</v>
      </c>
      <c r="I389" s="6">
        <v>29.84</v>
      </c>
      <c r="J389" s="6">
        <v>3592866</v>
      </c>
      <c r="K389" s="6">
        <v>311380</v>
      </c>
      <c r="L389" s="6">
        <v>640000</v>
      </c>
      <c r="M389" s="6">
        <v>0</v>
      </c>
      <c r="N389" s="6">
        <v>38487</v>
      </c>
      <c r="O389" s="6">
        <v>3302733</v>
      </c>
      <c r="P389" s="2" t="s">
        <v>25</v>
      </c>
      <c r="Q389" s="2" t="s">
        <v>32</v>
      </c>
      <c r="R389" s="2" t="s">
        <v>50</v>
      </c>
      <c r="S389" s="5">
        <v>1</v>
      </c>
      <c r="T389" s="1">
        <v>0</v>
      </c>
      <c r="U389" s="2">
        <f t="shared" si="78"/>
        <v>1</v>
      </c>
      <c r="V389" s="1">
        <v>0</v>
      </c>
      <c r="W389" s="2">
        <f t="shared" si="76"/>
        <v>1</v>
      </c>
      <c r="X389" s="8">
        <f t="shared" si="77"/>
        <v>100</v>
      </c>
    </row>
    <row r="390" spans="1:24" ht="15" customHeight="1">
      <c r="A390" s="9">
        <v>46054</v>
      </c>
      <c r="B390" s="2" t="s">
        <v>45</v>
      </c>
      <c r="C390" s="2" t="s">
        <v>803</v>
      </c>
      <c r="D390" s="2" t="s">
        <v>857</v>
      </c>
      <c r="E390" s="2" t="s">
        <v>475</v>
      </c>
      <c r="F390" s="2" t="s">
        <v>858</v>
      </c>
      <c r="G390" s="2" t="s">
        <v>184</v>
      </c>
      <c r="H390" s="2" t="s">
        <v>24</v>
      </c>
      <c r="I390" s="6">
        <v>29.84</v>
      </c>
      <c r="J390" s="6">
        <v>50</v>
      </c>
      <c r="K390" s="6">
        <v>1180</v>
      </c>
      <c r="L390" s="6">
        <v>1230</v>
      </c>
      <c r="M390" s="6">
        <v>0</v>
      </c>
      <c r="N390" s="6">
        <v>0</v>
      </c>
      <c r="O390" s="6">
        <v>0</v>
      </c>
      <c r="P390" s="2" t="s">
        <v>25</v>
      </c>
      <c r="Q390" s="2" t="s">
        <v>32</v>
      </c>
      <c r="R390" s="2" t="s">
        <v>27</v>
      </c>
      <c r="S390" s="5">
        <v>1</v>
      </c>
      <c r="T390" s="1">
        <v>0</v>
      </c>
      <c r="U390" s="2">
        <f t="shared" si="78"/>
        <v>1</v>
      </c>
      <c r="V390" s="1">
        <v>0</v>
      </c>
      <c r="W390" s="2">
        <f t="shared" si="76"/>
        <v>1</v>
      </c>
      <c r="X390" s="8">
        <f t="shared" si="77"/>
        <v>100</v>
      </c>
    </row>
    <row r="391" spans="1:24" ht="15" customHeight="1">
      <c r="A391" s="9">
        <v>46054</v>
      </c>
      <c r="B391" s="2" t="s">
        <v>45</v>
      </c>
      <c r="C391" s="2" t="s">
        <v>803</v>
      </c>
      <c r="D391" s="2" t="s">
        <v>859</v>
      </c>
      <c r="E391" s="2" t="s">
        <v>475</v>
      </c>
      <c r="F391" s="2" t="s">
        <v>860</v>
      </c>
      <c r="G391" s="2" t="s">
        <v>861</v>
      </c>
      <c r="H391" s="2" t="s">
        <v>24</v>
      </c>
      <c r="I391" s="6">
        <v>29.84</v>
      </c>
      <c r="J391" s="6">
        <v>4944</v>
      </c>
      <c r="K391" s="6">
        <v>114854</v>
      </c>
      <c r="L391" s="6">
        <v>119798</v>
      </c>
      <c r="M391" s="6">
        <v>0</v>
      </c>
      <c r="N391" s="6">
        <v>0</v>
      </c>
      <c r="O391" s="6">
        <v>0</v>
      </c>
      <c r="P391" s="2" t="s">
        <v>25</v>
      </c>
      <c r="Q391" s="2" t="s">
        <v>32</v>
      </c>
      <c r="R391" s="2" t="s">
        <v>27</v>
      </c>
      <c r="S391" s="5">
        <v>1</v>
      </c>
      <c r="T391" s="1">
        <v>0</v>
      </c>
      <c r="U391" s="2">
        <f t="shared" si="78"/>
        <v>1</v>
      </c>
      <c r="V391" s="1">
        <v>0</v>
      </c>
      <c r="W391" s="2">
        <f t="shared" si="76"/>
        <v>1</v>
      </c>
      <c r="X391" s="8">
        <f t="shared" si="77"/>
        <v>100</v>
      </c>
    </row>
    <row r="392" spans="1:24" ht="15" customHeight="1">
      <c r="A392" s="9">
        <v>46054</v>
      </c>
      <c r="B392" s="2" t="s">
        <v>45</v>
      </c>
      <c r="C392" s="2" t="s">
        <v>803</v>
      </c>
      <c r="D392" s="2" t="s">
        <v>862</v>
      </c>
      <c r="E392" s="2" t="s">
        <v>475</v>
      </c>
      <c r="F392" s="2" t="s">
        <v>863</v>
      </c>
      <c r="G392" s="2" t="s">
        <v>184</v>
      </c>
      <c r="H392" s="2" t="s">
        <v>24</v>
      </c>
      <c r="I392" s="6">
        <v>358</v>
      </c>
      <c r="J392" s="6">
        <v>56035</v>
      </c>
      <c r="K392" s="6">
        <v>7318</v>
      </c>
      <c r="L392" s="6">
        <v>63353</v>
      </c>
      <c r="M392" s="6">
        <v>0</v>
      </c>
      <c r="N392" s="6">
        <v>0</v>
      </c>
      <c r="O392" s="6">
        <v>0</v>
      </c>
      <c r="P392" s="2" t="s">
        <v>25</v>
      </c>
      <c r="Q392" s="2" t="s">
        <v>32</v>
      </c>
      <c r="R392" s="2" t="s">
        <v>27</v>
      </c>
      <c r="S392" s="5">
        <v>1</v>
      </c>
      <c r="T392" s="1">
        <v>0</v>
      </c>
      <c r="U392" s="2">
        <f t="shared" si="78"/>
        <v>1</v>
      </c>
      <c r="V392" s="1">
        <v>0</v>
      </c>
      <c r="W392" s="2">
        <f t="shared" si="76"/>
        <v>1</v>
      </c>
      <c r="X392" s="8">
        <f t="shared" si="77"/>
        <v>100</v>
      </c>
    </row>
    <row r="393" spans="1:24" ht="15" customHeight="1">
      <c r="A393" s="9">
        <v>46054</v>
      </c>
      <c r="B393" s="2" t="s">
        <v>45</v>
      </c>
      <c r="C393" s="2" t="s">
        <v>803</v>
      </c>
      <c r="D393" s="2" t="s">
        <v>864</v>
      </c>
      <c r="E393" s="2" t="s">
        <v>475</v>
      </c>
      <c r="F393" s="2" t="s">
        <v>865</v>
      </c>
      <c r="G393" s="2" t="s">
        <v>866</v>
      </c>
      <c r="H393" s="2" t="s">
        <v>24</v>
      </c>
      <c r="I393" s="6">
        <v>29.84</v>
      </c>
      <c r="J393" s="6">
        <v>19804</v>
      </c>
      <c r="K393" s="6">
        <v>468592</v>
      </c>
      <c r="L393" s="6">
        <v>488396</v>
      </c>
      <c r="M393" s="6">
        <v>0</v>
      </c>
      <c r="N393" s="6">
        <v>0</v>
      </c>
      <c r="O393" s="6">
        <v>0</v>
      </c>
      <c r="P393" s="2" t="s">
        <v>25</v>
      </c>
      <c r="Q393" s="2" t="s">
        <v>32</v>
      </c>
      <c r="R393" s="2" t="s">
        <v>27</v>
      </c>
      <c r="S393" s="5">
        <v>1</v>
      </c>
      <c r="T393" s="1">
        <v>0</v>
      </c>
      <c r="U393" s="2">
        <f>T393+S393</f>
        <v>1</v>
      </c>
      <c r="V393" s="1">
        <v>0</v>
      </c>
      <c r="W393" s="2">
        <f t="shared" si="76"/>
        <v>1</v>
      </c>
      <c r="X393" s="8">
        <f t="shared" si="77"/>
        <v>100</v>
      </c>
    </row>
    <row r="394" spans="1:24" ht="15" customHeight="1">
      <c r="A394" s="9">
        <v>46054</v>
      </c>
      <c r="B394" s="2" t="s">
        <v>45</v>
      </c>
      <c r="C394" s="2" t="s">
        <v>803</v>
      </c>
      <c r="D394" s="2" t="s">
        <v>1474</v>
      </c>
      <c r="E394" s="2" t="s">
        <v>475</v>
      </c>
      <c r="F394" s="2" t="s">
        <v>1475</v>
      </c>
      <c r="G394" s="2" t="s">
        <v>1476</v>
      </c>
      <c r="H394" s="2" t="s">
        <v>24</v>
      </c>
      <c r="I394" s="6">
        <v>29.3</v>
      </c>
      <c r="J394" s="6">
        <v>80</v>
      </c>
      <c r="K394" s="6">
        <v>1180</v>
      </c>
      <c r="L394" s="6">
        <v>1260</v>
      </c>
      <c r="M394" s="6">
        <v>0</v>
      </c>
      <c r="N394" s="6">
        <v>0</v>
      </c>
      <c r="O394" s="6">
        <v>0</v>
      </c>
      <c r="P394" s="2" t="s">
        <v>25</v>
      </c>
      <c r="Q394" s="2" t="s">
        <v>32</v>
      </c>
      <c r="R394" s="2" t="s">
        <v>27</v>
      </c>
      <c r="S394" s="5">
        <v>0</v>
      </c>
      <c r="T394" s="1">
        <v>1</v>
      </c>
      <c r="U394" s="2">
        <f>T394+S394</f>
        <v>1</v>
      </c>
      <c r="V394" s="1">
        <v>0</v>
      </c>
      <c r="W394" s="2">
        <f t="shared" si="76"/>
        <v>1</v>
      </c>
      <c r="X394" s="8">
        <f t="shared" si="77"/>
        <v>0</v>
      </c>
    </row>
    <row r="395" spans="1:24" ht="15" customHeight="1">
      <c r="A395" s="9">
        <v>46054</v>
      </c>
      <c r="B395" s="2" t="s">
        <v>867</v>
      </c>
      <c r="C395" s="2" t="s">
        <v>803</v>
      </c>
      <c r="D395" s="2" t="s">
        <v>1477</v>
      </c>
      <c r="E395" s="2" t="s">
        <v>318</v>
      </c>
      <c r="F395" s="2" t="s">
        <v>1478</v>
      </c>
      <c r="G395" s="2"/>
      <c r="H395" s="2" t="s">
        <v>24</v>
      </c>
      <c r="I395" s="6">
        <v>29.84</v>
      </c>
      <c r="J395" s="6">
        <v>-397</v>
      </c>
      <c r="K395" s="6">
        <v>0</v>
      </c>
      <c r="L395" s="6">
        <v>0</v>
      </c>
      <c r="M395" s="6">
        <v>0</v>
      </c>
      <c r="N395" s="6">
        <v>0</v>
      </c>
      <c r="O395" s="6">
        <v>-397</v>
      </c>
      <c r="P395" s="2" t="s">
        <v>25</v>
      </c>
      <c r="Q395" s="2" t="s">
        <v>26</v>
      </c>
      <c r="R395" s="2" t="s">
        <v>27</v>
      </c>
      <c r="S395" s="5">
        <v>0</v>
      </c>
      <c r="T395" s="1">
        <v>0</v>
      </c>
      <c r="U395" s="2">
        <f t="shared" ref="U395:U396" si="82">T395+S395</f>
        <v>0</v>
      </c>
      <c r="V395" s="1">
        <v>1</v>
      </c>
      <c r="W395" s="2">
        <f t="shared" si="76"/>
        <v>1</v>
      </c>
      <c r="X395" s="8" t="e">
        <f t="shared" si="77"/>
        <v>#DIV/0!</v>
      </c>
    </row>
    <row r="396" spans="1:24">
      <c r="A396" s="9">
        <v>46054</v>
      </c>
      <c r="B396" s="2" t="s">
        <v>867</v>
      </c>
      <c r="C396" s="2" t="s">
        <v>803</v>
      </c>
      <c r="D396" s="2" t="s">
        <v>868</v>
      </c>
      <c r="E396" s="2" t="s">
        <v>869</v>
      </c>
      <c r="F396" s="2" t="s">
        <v>870</v>
      </c>
      <c r="G396" s="2"/>
      <c r="H396" s="2" t="s">
        <v>24</v>
      </c>
      <c r="I396" s="6">
        <v>33.5</v>
      </c>
      <c r="J396" s="6">
        <v>-472</v>
      </c>
      <c r="K396" s="6">
        <v>0</v>
      </c>
      <c r="L396" s="6">
        <v>0</v>
      </c>
      <c r="M396" s="6">
        <v>0</v>
      </c>
      <c r="N396" s="6">
        <v>0</v>
      </c>
      <c r="O396" s="6">
        <v>-472</v>
      </c>
      <c r="P396" s="2" t="s">
        <v>25</v>
      </c>
      <c r="Q396" s="2" t="s">
        <v>26</v>
      </c>
      <c r="R396" s="2" t="s">
        <v>27</v>
      </c>
      <c r="S396" s="5">
        <v>0</v>
      </c>
      <c r="T396" s="1">
        <v>0</v>
      </c>
      <c r="U396" s="2">
        <f t="shared" si="82"/>
        <v>0</v>
      </c>
      <c r="V396" s="1">
        <v>1</v>
      </c>
      <c r="W396" s="2">
        <f t="shared" si="76"/>
        <v>1</v>
      </c>
      <c r="X396" s="8" t="e">
        <f t="shared" si="77"/>
        <v>#DIV/0!</v>
      </c>
    </row>
    <row r="397" spans="1:24" ht="15" customHeight="1">
      <c r="A397" s="9">
        <v>46054</v>
      </c>
      <c r="B397" s="2" t="s">
        <v>95</v>
      </c>
      <c r="C397" s="2" t="s">
        <v>803</v>
      </c>
      <c r="D397" s="2" t="s">
        <v>871</v>
      </c>
      <c r="E397" s="2" t="s">
        <v>475</v>
      </c>
      <c r="F397" s="2" t="s">
        <v>872</v>
      </c>
      <c r="G397" s="2" t="s">
        <v>184</v>
      </c>
      <c r="H397" s="2" t="s">
        <v>24</v>
      </c>
      <c r="I397" s="6">
        <v>7.46</v>
      </c>
      <c r="J397" s="6">
        <v>50</v>
      </c>
      <c r="K397" s="6">
        <v>1180</v>
      </c>
      <c r="L397" s="6">
        <v>1230</v>
      </c>
      <c r="M397" s="6">
        <v>0</v>
      </c>
      <c r="N397" s="6">
        <v>50</v>
      </c>
      <c r="O397" s="6">
        <v>50</v>
      </c>
      <c r="P397" s="2" t="s">
        <v>25</v>
      </c>
      <c r="Q397" s="2" t="s">
        <v>32</v>
      </c>
      <c r="R397" s="2" t="s">
        <v>27</v>
      </c>
      <c r="S397" s="5">
        <v>0</v>
      </c>
      <c r="T397" s="1">
        <v>1</v>
      </c>
      <c r="U397" s="2">
        <f>T397+S397</f>
        <v>1</v>
      </c>
      <c r="V397" s="1">
        <v>0</v>
      </c>
      <c r="W397" s="2">
        <f t="shared" si="76"/>
        <v>1</v>
      </c>
      <c r="X397" s="8">
        <f t="shared" si="77"/>
        <v>0</v>
      </c>
    </row>
    <row r="398" spans="1:24">
      <c r="A398" s="9">
        <v>46054</v>
      </c>
      <c r="B398" s="2" t="s">
        <v>95</v>
      </c>
      <c r="C398" s="2" t="s">
        <v>803</v>
      </c>
      <c r="D398" s="2" t="s">
        <v>873</v>
      </c>
      <c r="E398" s="2" t="s">
        <v>812</v>
      </c>
      <c r="F398" s="2" t="s">
        <v>874</v>
      </c>
      <c r="G398" s="2" t="s">
        <v>875</v>
      </c>
      <c r="H398" s="2" t="s">
        <v>24</v>
      </c>
      <c r="I398" s="6">
        <v>22.38</v>
      </c>
      <c r="J398" s="6">
        <v>27122</v>
      </c>
      <c r="K398" s="6">
        <v>737109</v>
      </c>
      <c r="L398" s="6">
        <v>764231</v>
      </c>
      <c r="M398" s="6">
        <v>0</v>
      </c>
      <c r="N398" s="6">
        <v>30621</v>
      </c>
      <c r="O398" s="6">
        <v>30621</v>
      </c>
      <c r="P398" s="2" t="s">
        <v>25</v>
      </c>
      <c r="Q398" s="2" t="s">
        <v>32</v>
      </c>
      <c r="R398" s="2" t="s">
        <v>27</v>
      </c>
      <c r="S398" s="5">
        <v>1</v>
      </c>
      <c r="T398" s="1">
        <v>0</v>
      </c>
      <c r="U398" s="2">
        <f t="shared" si="78"/>
        <v>1</v>
      </c>
      <c r="V398" s="1">
        <v>0</v>
      </c>
      <c r="W398" s="2">
        <f t="shared" si="76"/>
        <v>1</v>
      </c>
      <c r="X398" s="8">
        <f t="shared" si="77"/>
        <v>100</v>
      </c>
    </row>
    <row r="399" spans="1:24">
      <c r="A399" s="9">
        <v>46054</v>
      </c>
      <c r="B399" s="2" t="s">
        <v>95</v>
      </c>
      <c r="C399" s="2" t="s">
        <v>803</v>
      </c>
      <c r="D399" s="2" t="s">
        <v>876</v>
      </c>
      <c r="E399" s="2" t="s">
        <v>877</v>
      </c>
      <c r="F399" s="2" t="s">
        <v>878</v>
      </c>
      <c r="G399" s="2" t="s">
        <v>846</v>
      </c>
      <c r="H399" s="2" t="s">
        <v>24</v>
      </c>
      <c r="I399" s="6">
        <v>20.65</v>
      </c>
      <c r="J399" s="6">
        <v>0</v>
      </c>
      <c r="K399" s="6">
        <v>55922</v>
      </c>
      <c r="L399" s="6">
        <v>55922</v>
      </c>
      <c r="M399" s="6">
        <v>0</v>
      </c>
      <c r="N399" s="6">
        <v>0</v>
      </c>
      <c r="O399" s="6">
        <v>0</v>
      </c>
      <c r="P399" s="2" t="s">
        <v>40</v>
      </c>
      <c r="Q399" s="2" t="s">
        <v>32</v>
      </c>
      <c r="R399" s="2" t="s">
        <v>27</v>
      </c>
      <c r="S399" s="5">
        <v>1</v>
      </c>
      <c r="T399" s="1">
        <v>0</v>
      </c>
      <c r="U399" s="2">
        <f t="shared" si="78"/>
        <v>1</v>
      </c>
      <c r="V399" s="1">
        <v>0</v>
      </c>
      <c r="W399" s="2">
        <f t="shared" si="76"/>
        <v>1</v>
      </c>
      <c r="X399" s="8">
        <f t="shared" si="77"/>
        <v>100</v>
      </c>
    </row>
    <row r="400" spans="1:24">
      <c r="A400" s="9">
        <v>46054</v>
      </c>
      <c r="B400" s="2" t="s">
        <v>95</v>
      </c>
      <c r="C400" s="2" t="s">
        <v>803</v>
      </c>
      <c r="D400" s="2" t="s">
        <v>1609</v>
      </c>
      <c r="E400" s="2" t="s">
        <v>60</v>
      </c>
      <c r="F400" s="2" t="s">
        <v>1610</v>
      </c>
      <c r="G400" s="2" t="s">
        <v>846</v>
      </c>
      <c r="H400" s="2" t="s">
        <v>24</v>
      </c>
      <c r="I400" s="6">
        <v>22.38</v>
      </c>
      <c r="J400" s="6">
        <v>20036</v>
      </c>
      <c r="K400" s="6">
        <v>417905</v>
      </c>
      <c r="L400" s="6">
        <v>437941</v>
      </c>
      <c r="M400" s="6">
        <v>0</v>
      </c>
      <c r="N400" s="6">
        <v>17407</v>
      </c>
      <c r="O400" s="6">
        <v>17407</v>
      </c>
      <c r="P400" s="2" t="s">
        <v>25</v>
      </c>
      <c r="Q400" s="2" t="s">
        <v>32</v>
      </c>
      <c r="R400" s="2" t="s">
        <v>50</v>
      </c>
      <c r="S400" s="5">
        <v>1</v>
      </c>
      <c r="T400" s="1">
        <v>0</v>
      </c>
      <c r="U400" s="2">
        <f>T400+S400</f>
        <v>1</v>
      </c>
      <c r="V400" s="1">
        <v>0</v>
      </c>
      <c r="W400" s="2">
        <f t="shared" si="76"/>
        <v>1</v>
      </c>
      <c r="X400" s="8">
        <f t="shared" si="77"/>
        <v>100</v>
      </c>
    </row>
    <row r="401" spans="1:24">
      <c r="A401" s="9">
        <v>46054</v>
      </c>
      <c r="B401" s="2" t="s">
        <v>95</v>
      </c>
      <c r="C401" s="2" t="s">
        <v>803</v>
      </c>
      <c r="D401" s="2" t="s">
        <v>879</v>
      </c>
      <c r="E401" s="2" t="s">
        <v>475</v>
      </c>
      <c r="F401" s="2" t="s">
        <v>880</v>
      </c>
      <c r="G401" s="2" t="s">
        <v>184</v>
      </c>
      <c r="H401" s="2" t="s">
        <v>24</v>
      </c>
      <c r="I401" s="6">
        <v>25</v>
      </c>
      <c r="J401" s="6">
        <v>10375</v>
      </c>
      <c r="K401" s="6">
        <v>242396</v>
      </c>
      <c r="L401" s="6">
        <v>252771</v>
      </c>
      <c r="M401" s="6">
        <v>0</v>
      </c>
      <c r="N401" s="6">
        <v>10087</v>
      </c>
      <c r="O401" s="6">
        <v>10087</v>
      </c>
      <c r="P401" s="2" t="s">
        <v>25</v>
      </c>
      <c r="Q401" s="2" t="s">
        <v>32</v>
      </c>
      <c r="R401" s="2" t="s">
        <v>27</v>
      </c>
      <c r="S401" s="5">
        <v>0</v>
      </c>
      <c r="T401" s="1">
        <v>1</v>
      </c>
      <c r="U401" s="2">
        <f>T401+S401</f>
        <v>1</v>
      </c>
      <c r="V401" s="1">
        <v>0</v>
      </c>
      <c r="W401" s="2">
        <f t="shared" si="76"/>
        <v>1</v>
      </c>
      <c r="X401" s="8">
        <f t="shared" si="77"/>
        <v>0</v>
      </c>
    </row>
    <row r="402" spans="1:24">
      <c r="A402" s="9">
        <v>46054</v>
      </c>
      <c r="B402" s="2" t="s">
        <v>95</v>
      </c>
      <c r="C402" s="2" t="s">
        <v>803</v>
      </c>
      <c r="D402" s="2" t="s">
        <v>881</v>
      </c>
      <c r="E402" s="2" t="s">
        <v>475</v>
      </c>
      <c r="F402" s="2" t="s">
        <v>882</v>
      </c>
      <c r="G402" s="2" t="s">
        <v>184</v>
      </c>
      <c r="H402" s="2" t="s">
        <v>24</v>
      </c>
      <c r="I402" s="6">
        <v>22</v>
      </c>
      <c r="J402" s="6">
        <v>0</v>
      </c>
      <c r="K402" s="6">
        <v>0</v>
      </c>
      <c r="L402" s="6">
        <v>0</v>
      </c>
      <c r="M402" s="6">
        <v>0</v>
      </c>
      <c r="N402" s="6">
        <v>0</v>
      </c>
      <c r="O402" s="6">
        <v>0</v>
      </c>
      <c r="P402" s="2" t="s">
        <v>25</v>
      </c>
      <c r="Q402" s="2" t="s">
        <v>26</v>
      </c>
      <c r="R402" s="2" t="s">
        <v>27</v>
      </c>
      <c r="S402" s="5">
        <v>0</v>
      </c>
      <c r="T402" s="1">
        <v>0</v>
      </c>
      <c r="U402" s="2">
        <f>T402+S402</f>
        <v>0</v>
      </c>
      <c r="V402" s="1">
        <v>1</v>
      </c>
      <c r="W402" s="2">
        <f t="shared" si="76"/>
        <v>1</v>
      </c>
      <c r="X402" s="8" t="e">
        <f t="shared" si="77"/>
        <v>#DIV/0!</v>
      </c>
    </row>
    <row r="403" spans="1:24">
      <c r="A403" s="9">
        <v>46054</v>
      </c>
      <c r="B403" s="2" t="s">
        <v>95</v>
      </c>
      <c r="C403" s="2" t="s">
        <v>803</v>
      </c>
      <c r="D403" s="2" t="s">
        <v>883</v>
      </c>
      <c r="E403" s="2" t="s">
        <v>475</v>
      </c>
      <c r="F403" s="2" t="s">
        <v>884</v>
      </c>
      <c r="G403" s="2" t="s">
        <v>184</v>
      </c>
      <c r="H403" s="2" t="s">
        <v>24</v>
      </c>
      <c r="I403" s="6">
        <v>14.92</v>
      </c>
      <c r="J403" s="6">
        <v>50</v>
      </c>
      <c r="K403" s="6">
        <v>1180</v>
      </c>
      <c r="L403" s="6">
        <v>1230</v>
      </c>
      <c r="M403" s="6">
        <v>0</v>
      </c>
      <c r="N403" s="6">
        <v>50</v>
      </c>
      <c r="O403" s="6">
        <v>50</v>
      </c>
      <c r="P403" s="2" t="s">
        <v>25</v>
      </c>
      <c r="Q403" s="2" t="s">
        <v>32</v>
      </c>
      <c r="R403" s="2" t="s">
        <v>27</v>
      </c>
      <c r="S403" s="5">
        <v>0</v>
      </c>
      <c r="T403" s="1">
        <v>1</v>
      </c>
      <c r="U403" s="2">
        <f t="shared" si="78"/>
        <v>1</v>
      </c>
      <c r="V403" s="1">
        <v>0</v>
      </c>
      <c r="W403" s="2">
        <f t="shared" si="76"/>
        <v>1</v>
      </c>
      <c r="X403" s="8">
        <f t="shared" si="77"/>
        <v>0</v>
      </c>
    </row>
    <row r="404" spans="1:24">
      <c r="A404" s="9">
        <v>46054</v>
      </c>
      <c r="B404" s="2" t="s">
        <v>95</v>
      </c>
      <c r="C404" s="2" t="s">
        <v>803</v>
      </c>
      <c r="D404" s="2" t="s">
        <v>885</v>
      </c>
      <c r="E404" s="2" t="s">
        <v>475</v>
      </c>
      <c r="F404" s="2" t="s">
        <v>886</v>
      </c>
      <c r="G404" s="2" t="s">
        <v>887</v>
      </c>
      <c r="H404" s="2" t="s">
        <v>24</v>
      </c>
      <c r="I404" s="6">
        <v>22.38</v>
      </c>
      <c r="J404" s="6">
        <v>50</v>
      </c>
      <c r="K404" s="6">
        <v>1180</v>
      </c>
      <c r="L404" s="6">
        <v>1230</v>
      </c>
      <c r="M404" s="6">
        <v>0</v>
      </c>
      <c r="N404" s="6">
        <v>50</v>
      </c>
      <c r="O404" s="6">
        <v>50</v>
      </c>
      <c r="P404" s="2" t="s">
        <v>25</v>
      </c>
      <c r="Q404" s="2" t="s">
        <v>32</v>
      </c>
      <c r="R404" s="2" t="s">
        <v>27</v>
      </c>
      <c r="S404" s="5">
        <v>0</v>
      </c>
      <c r="T404" s="1">
        <v>1</v>
      </c>
      <c r="U404" s="2">
        <f t="shared" si="78"/>
        <v>1</v>
      </c>
      <c r="V404" s="1">
        <v>0</v>
      </c>
      <c r="W404" s="2">
        <f t="shared" si="76"/>
        <v>1</v>
      </c>
      <c r="X404" s="8">
        <f t="shared" si="77"/>
        <v>0</v>
      </c>
    </row>
    <row r="405" spans="1:24">
      <c r="A405" s="9">
        <v>46054</v>
      </c>
      <c r="B405" s="2" t="s">
        <v>95</v>
      </c>
      <c r="C405" s="2" t="s">
        <v>803</v>
      </c>
      <c r="D405" s="2" t="s">
        <v>888</v>
      </c>
      <c r="E405" s="2" t="s">
        <v>889</v>
      </c>
      <c r="F405" s="2" t="s">
        <v>890</v>
      </c>
      <c r="G405" s="2" t="s">
        <v>891</v>
      </c>
      <c r="H405" s="2" t="s">
        <v>24</v>
      </c>
      <c r="I405" s="6">
        <v>22.38</v>
      </c>
      <c r="J405" s="6">
        <v>524037</v>
      </c>
      <c r="K405" s="6">
        <v>1180</v>
      </c>
      <c r="L405" s="6">
        <v>0</v>
      </c>
      <c r="M405" s="6">
        <v>0</v>
      </c>
      <c r="N405" s="6">
        <v>50</v>
      </c>
      <c r="O405" s="6">
        <v>525267</v>
      </c>
      <c r="P405" s="2" t="s">
        <v>40</v>
      </c>
      <c r="Q405" s="2" t="s">
        <v>32</v>
      </c>
      <c r="R405" s="2" t="s">
        <v>27</v>
      </c>
      <c r="S405" s="5">
        <v>0</v>
      </c>
      <c r="T405" s="1">
        <v>1</v>
      </c>
      <c r="U405" s="2">
        <f t="shared" si="78"/>
        <v>1</v>
      </c>
      <c r="V405" s="1">
        <v>0</v>
      </c>
      <c r="W405" s="2">
        <f t="shared" si="76"/>
        <v>1</v>
      </c>
      <c r="X405" s="8">
        <f t="shared" si="77"/>
        <v>0</v>
      </c>
    </row>
    <row r="406" spans="1:24">
      <c r="A406" s="9">
        <v>46054</v>
      </c>
      <c r="B406" s="2" t="s">
        <v>95</v>
      </c>
      <c r="C406" s="2" t="s">
        <v>803</v>
      </c>
      <c r="D406" s="2" t="s">
        <v>892</v>
      </c>
      <c r="E406" s="2" t="s">
        <v>475</v>
      </c>
      <c r="F406" s="2" t="s">
        <v>893</v>
      </c>
      <c r="G406" s="2" t="s">
        <v>65</v>
      </c>
      <c r="H406" s="2" t="s">
        <v>24</v>
      </c>
      <c r="I406" s="6">
        <v>22.48</v>
      </c>
      <c r="J406" s="6">
        <v>-397041</v>
      </c>
      <c r="K406" s="6">
        <v>1180</v>
      </c>
      <c r="L406" s="6">
        <v>0</v>
      </c>
      <c r="M406" s="6">
        <v>0</v>
      </c>
      <c r="N406" s="6">
        <v>0</v>
      </c>
      <c r="O406" s="6">
        <v>-395861</v>
      </c>
      <c r="P406" s="2" t="s">
        <v>25</v>
      </c>
      <c r="Q406" s="2" t="s">
        <v>32</v>
      </c>
      <c r="R406" s="2" t="s">
        <v>27</v>
      </c>
      <c r="S406" s="5">
        <v>0</v>
      </c>
      <c r="T406" s="1">
        <v>1</v>
      </c>
      <c r="U406" s="2">
        <f t="shared" si="78"/>
        <v>1</v>
      </c>
      <c r="V406" s="1">
        <v>0</v>
      </c>
      <c r="W406" s="2">
        <f t="shared" si="76"/>
        <v>1</v>
      </c>
      <c r="X406" s="8">
        <f t="shared" si="77"/>
        <v>0</v>
      </c>
    </row>
    <row r="407" spans="1:24">
      <c r="A407" s="9">
        <v>46054</v>
      </c>
      <c r="B407" s="2" t="s">
        <v>95</v>
      </c>
      <c r="C407" s="2" t="s">
        <v>803</v>
      </c>
      <c r="D407" s="2" t="s">
        <v>894</v>
      </c>
      <c r="E407" s="2" t="s">
        <v>475</v>
      </c>
      <c r="F407" s="2" t="s">
        <v>895</v>
      </c>
      <c r="G407" s="2" t="s">
        <v>896</v>
      </c>
      <c r="H407" s="2" t="s">
        <v>24</v>
      </c>
      <c r="I407" s="6">
        <v>22.46</v>
      </c>
      <c r="J407" s="6">
        <v>50</v>
      </c>
      <c r="K407" s="6">
        <v>1180</v>
      </c>
      <c r="L407" s="6">
        <v>1230</v>
      </c>
      <c r="M407" s="6">
        <v>0</v>
      </c>
      <c r="N407" s="6">
        <v>50</v>
      </c>
      <c r="O407" s="6">
        <v>50</v>
      </c>
      <c r="P407" s="2" t="s">
        <v>25</v>
      </c>
      <c r="Q407" s="2" t="s">
        <v>32</v>
      </c>
      <c r="R407" s="2" t="s">
        <v>27</v>
      </c>
      <c r="S407" s="5">
        <v>0</v>
      </c>
      <c r="T407" s="1">
        <v>1</v>
      </c>
      <c r="U407" s="2">
        <f t="shared" si="78"/>
        <v>1</v>
      </c>
      <c r="V407" s="1">
        <v>0</v>
      </c>
      <c r="W407" s="2">
        <f t="shared" si="76"/>
        <v>1</v>
      </c>
      <c r="X407" s="8">
        <f t="shared" si="77"/>
        <v>0</v>
      </c>
    </row>
    <row r="408" spans="1:24">
      <c r="A408" s="9">
        <v>46054</v>
      </c>
      <c r="B408" s="2" t="s">
        <v>95</v>
      </c>
      <c r="C408" s="2" t="s">
        <v>803</v>
      </c>
      <c r="D408" s="2" t="s">
        <v>897</v>
      </c>
      <c r="E408" s="2" t="s">
        <v>475</v>
      </c>
      <c r="F408" s="2" t="s">
        <v>898</v>
      </c>
      <c r="G408" s="2" t="s">
        <v>184</v>
      </c>
      <c r="H408" s="2" t="s">
        <v>24</v>
      </c>
      <c r="I408" s="6">
        <v>7.46</v>
      </c>
      <c r="J408" s="6">
        <v>9122</v>
      </c>
      <c r="K408" s="6">
        <v>180408</v>
      </c>
      <c r="L408" s="6">
        <v>189530</v>
      </c>
      <c r="M408" s="6">
        <v>0</v>
      </c>
      <c r="N408" s="6">
        <v>7532</v>
      </c>
      <c r="O408" s="6">
        <v>7532</v>
      </c>
      <c r="P408" s="2" t="s">
        <v>25</v>
      </c>
      <c r="Q408" s="2" t="s">
        <v>32</v>
      </c>
      <c r="R408" s="2" t="s">
        <v>27</v>
      </c>
      <c r="S408" s="5">
        <v>1</v>
      </c>
      <c r="T408" s="1">
        <v>0</v>
      </c>
      <c r="U408" s="2">
        <f t="shared" si="78"/>
        <v>1</v>
      </c>
      <c r="V408" s="1">
        <v>0</v>
      </c>
      <c r="W408" s="2">
        <f t="shared" si="76"/>
        <v>1</v>
      </c>
      <c r="X408" s="8">
        <f t="shared" si="77"/>
        <v>100</v>
      </c>
    </row>
    <row r="409" spans="1:24">
      <c r="A409" s="9">
        <v>46054</v>
      </c>
      <c r="B409" s="2" t="s">
        <v>95</v>
      </c>
      <c r="C409" s="2" t="s">
        <v>803</v>
      </c>
      <c r="D409" s="2" t="s">
        <v>899</v>
      </c>
      <c r="E409" s="2" t="s">
        <v>475</v>
      </c>
      <c r="F409" s="2" t="s">
        <v>900</v>
      </c>
      <c r="G409" s="2" t="s">
        <v>184</v>
      </c>
      <c r="H409" s="2" t="s">
        <v>24</v>
      </c>
      <c r="I409" s="6">
        <v>14.92</v>
      </c>
      <c r="J409" s="6">
        <v>11493</v>
      </c>
      <c r="K409" s="6">
        <v>282966</v>
      </c>
      <c r="L409" s="6">
        <v>294459</v>
      </c>
      <c r="M409" s="6">
        <v>0</v>
      </c>
      <c r="N409" s="6">
        <v>11793</v>
      </c>
      <c r="O409" s="6">
        <v>11793</v>
      </c>
      <c r="P409" s="2" t="s">
        <v>25</v>
      </c>
      <c r="Q409" s="2" t="s">
        <v>32</v>
      </c>
      <c r="R409" s="2" t="s">
        <v>27</v>
      </c>
      <c r="S409" s="5">
        <v>1</v>
      </c>
      <c r="T409" s="1">
        <v>0</v>
      </c>
      <c r="U409" s="2">
        <f t="shared" si="78"/>
        <v>1</v>
      </c>
      <c r="V409" s="1">
        <v>0</v>
      </c>
      <c r="W409" s="2">
        <f t="shared" si="76"/>
        <v>1</v>
      </c>
      <c r="X409" s="8">
        <f t="shared" si="77"/>
        <v>100</v>
      </c>
    </row>
    <row r="410" spans="1:24">
      <c r="A410" s="9">
        <v>46054</v>
      </c>
      <c r="B410" s="2" t="s">
        <v>95</v>
      </c>
      <c r="C410" s="2" t="s">
        <v>803</v>
      </c>
      <c r="D410" s="2" t="s">
        <v>901</v>
      </c>
      <c r="E410" s="2" t="s">
        <v>475</v>
      </c>
      <c r="F410" s="2" t="s">
        <v>902</v>
      </c>
      <c r="G410" s="2" t="s">
        <v>903</v>
      </c>
      <c r="H410" s="2" t="s">
        <v>24</v>
      </c>
      <c r="I410" s="6">
        <v>22.38</v>
      </c>
      <c r="J410" s="6">
        <v>704</v>
      </c>
      <c r="K410" s="6">
        <v>15637</v>
      </c>
      <c r="L410" s="6">
        <v>16341</v>
      </c>
      <c r="M410" s="6">
        <v>0</v>
      </c>
      <c r="N410" s="6">
        <v>649</v>
      </c>
      <c r="O410" s="6">
        <v>649</v>
      </c>
      <c r="P410" s="2" t="s">
        <v>25</v>
      </c>
      <c r="Q410" s="2" t="s">
        <v>32</v>
      </c>
      <c r="R410" s="2" t="s">
        <v>27</v>
      </c>
      <c r="S410" s="5">
        <v>1</v>
      </c>
      <c r="T410" s="1">
        <v>0</v>
      </c>
      <c r="U410" s="2">
        <f t="shared" si="78"/>
        <v>1</v>
      </c>
      <c r="V410" s="1">
        <v>0</v>
      </c>
      <c r="W410" s="2">
        <f t="shared" si="76"/>
        <v>1</v>
      </c>
      <c r="X410" s="8">
        <f t="shared" si="77"/>
        <v>100</v>
      </c>
    </row>
    <row r="411" spans="1:24">
      <c r="A411" s="9">
        <v>46054</v>
      </c>
      <c r="B411" s="2" t="s">
        <v>95</v>
      </c>
      <c r="C411" s="2" t="s">
        <v>803</v>
      </c>
      <c r="D411" s="2" t="s">
        <v>904</v>
      </c>
      <c r="E411" s="2" t="s">
        <v>475</v>
      </c>
      <c r="F411" s="2" t="s">
        <v>905</v>
      </c>
      <c r="G411" s="2" t="s">
        <v>906</v>
      </c>
      <c r="H411" s="2" t="s">
        <v>24</v>
      </c>
      <c r="I411" s="6">
        <v>22.38</v>
      </c>
      <c r="J411" s="6">
        <v>15382</v>
      </c>
      <c r="K411" s="6">
        <v>298095</v>
      </c>
      <c r="L411" s="6">
        <v>313477</v>
      </c>
      <c r="M411" s="6">
        <v>0</v>
      </c>
      <c r="N411" s="6">
        <v>12343</v>
      </c>
      <c r="O411" s="6">
        <v>12343</v>
      </c>
      <c r="P411" s="2" t="s">
        <v>25</v>
      </c>
      <c r="Q411" s="2" t="s">
        <v>32</v>
      </c>
      <c r="R411" s="2" t="s">
        <v>27</v>
      </c>
      <c r="S411" s="5">
        <v>0</v>
      </c>
      <c r="T411" s="1">
        <v>1</v>
      </c>
      <c r="U411" s="2">
        <f t="shared" si="78"/>
        <v>1</v>
      </c>
      <c r="V411" s="1">
        <v>0</v>
      </c>
      <c r="W411" s="2">
        <f t="shared" si="76"/>
        <v>1</v>
      </c>
      <c r="X411" s="8">
        <f t="shared" si="77"/>
        <v>0</v>
      </c>
    </row>
    <row r="412" spans="1:24">
      <c r="A412" s="9">
        <v>46054</v>
      </c>
      <c r="B412" s="2" t="s">
        <v>95</v>
      </c>
      <c r="C412" s="2" t="s">
        <v>803</v>
      </c>
      <c r="D412" s="2" t="s">
        <v>907</v>
      </c>
      <c r="E412" s="2" t="s">
        <v>475</v>
      </c>
      <c r="F412" s="2" t="s">
        <v>908</v>
      </c>
      <c r="G412" s="2" t="s">
        <v>909</v>
      </c>
      <c r="H412" s="2" t="s">
        <v>24</v>
      </c>
      <c r="I412" s="6">
        <v>22.36</v>
      </c>
      <c r="J412" s="6">
        <v>687408</v>
      </c>
      <c r="K412" s="6">
        <v>1180</v>
      </c>
      <c r="L412" s="6">
        <v>15000</v>
      </c>
      <c r="M412" s="6">
        <v>0</v>
      </c>
      <c r="N412" s="6">
        <v>50</v>
      </c>
      <c r="O412" s="6">
        <v>673638</v>
      </c>
      <c r="P412" s="2" t="s">
        <v>25</v>
      </c>
      <c r="Q412" s="2" t="s">
        <v>32</v>
      </c>
      <c r="R412" s="2" t="s">
        <v>27</v>
      </c>
      <c r="S412" s="5">
        <v>0</v>
      </c>
      <c r="T412" s="1">
        <v>1</v>
      </c>
      <c r="U412" s="2">
        <f t="shared" si="78"/>
        <v>1</v>
      </c>
      <c r="V412" s="1">
        <v>0</v>
      </c>
      <c r="W412" s="2">
        <f t="shared" si="76"/>
        <v>1</v>
      </c>
      <c r="X412" s="8">
        <f t="shared" si="77"/>
        <v>0</v>
      </c>
    </row>
    <row r="413" spans="1:24">
      <c r="A413" s="9">
        <v>46054</v>
      </c>
      <c r="B413" s="2" t="s">
        <v>95</v>
      </c>
      <c r="C413" s="2" t="s">
        <v>803</v>
      </c>
      <c r="D413" s="2" t="s">
        <v>910</v>
      </c>
      <c r="E413" s="2" t="s">
        <v>911</v>
      </c>
      <c r="F413" s="2" t="s">
        <v>912</v>
      </c>
      <c r="G413" s="2" t="s">
        <v>913</v>
      </c>
      <c r="H413" s="2" t="s">
        <v>24</v>
      </c>
      <c r="I413" s="6">
        <v>22</v>
      </c>
      <c r="J413" s="6">
        <v>1079761</v>
      </c>
      <c r="K413" s="6">
        <v>1180</v>
      </c>
      <c r="L413" s="6">
        <v>0</v>
      </c>
      <c r="M413" s="6">
        <v>0</v>
      </c>
      <c r="N413" s="6">
        <v>50</v>
      </c>
      <c r="O413" s="6">
        <v>1080991</v>
      </c>
      <c r="P413" s="2" t="s">
        <v>40</v>
      </c>
      <c r="Q413" s="2" t="s">
        <v>32</v>
      </c>
      <c r="R413" s="2" t="s">
        <v>339</v>
      </c>
      <c r="S413" s="5">
        <v>1</v>
      </c>
      <c r="T413" s="1">
        <v>0</v>
      </c>
      <c r="U413" s="2">
        <f t="shared" si="78"/>
        <v>1</v>
      </c>
      <c r="V413" s="1">
        <v>0</v>
      </c>
      <c r="W413" s="2">
        <f t="shared" si="76"/>
        <v>1</v>
      </c>
      <c r="X413" s="8">
        <f t="shared" si="77"/>
        <v>100</v>
      </c>
    </row>
    <row r="414" spans="1:24">
      <c r="A414" s="9">
        <v>46054</v>
      </c>
      <c r="B414" s="2" t="s">
        <v>95</v>
      </c>
      <c r="C414" s="2" t="s">
        <v>803</v>
      </c>
      <c r="D414" s="2" t="s">
        <v>914</v>
      </c>
      <c r="E414" s="2" t="s">
        <v>475</v>
      </c>
      <c r="F414" s="2" t="s">
        <v>915</v>
      </c>
      <c r="G414" s="2" t="s">
        <v>65</v>
      </c>
      <c r="H414" s="2" t="s">
        <v>24</v>
      </c>
      <c r="I414" s="6">
        <v>22.38</v>
      </c>
      <c r="J414" s="6">
        <v>50</v>
      </c>
      <c r="K414" s="6">
        <v>1180</v>
      </c>
      <c r="L414" s="6">
        <v>1230</v>
      </c>
      <c r="M414" s="6">
        <v>0</v>
      </c>
      <c r="N414" s="6">
        <v>50</v>
      </c>
      <c r="O414" s="6">
        <v>50</v>
      </c>
      <c r="P414" s="2" t="s">
        <v>25</v>
      </c>
      <c r="Q414" s="2" t="s">
        <v>32</v>
      </c>
      <c r="R414" s="2" t="s">
        <v>27</v>
      </c>
      <c r="S414" s="5">
        <v>0</v>
      </c>
      <c r="T414" s="1">
        <v>1</v>
      </c>
      <c r="U414" s="2">
        <f t="shared" si="78"/>
        <v>1</v>
      </c>
      <c r="V414" s="1">
        <v>0</v>
      </c>
      <c r="W414" s="2">
        <f t="shared" si="76"/>
        <v>1</v>
      </c>
      <c r="X414" s="8">
        <f t="shared" si="77"/>
        <v>0</v>
      </c>
    </row>
    <row r="415" spans="1:24">
      <c r="A415" s="9">
        <v>46054</v>
      </c>
      <c r="B415" s="2" t="s">
        <v>95</v>
      </c>
      <c r="C415" s="2" t="s">
        <v>803</v>
      </c>
      <c r="D415" s="2" t="s">
        <v>916</v>
      </c>
      <c r="E415" s="2" t="s">
        <v>475</v>
      </c>
      <c r="F415" s="2" t="s">
        <v>917</v>
      </c>
      <c r="G415" s="2" t="s">
        <v>65</v>
      </c>
      <c r="H415" s="2" t="s">
        <v>24</v>
      </c>
      <c r="I415" s="6">
        <v>22.38</v>
      </c>
      <c r="J415" s="6">
        <v>2619</v>
      </c>
      <c r="K415" s="6">
        <v>167129</v>
      </c>
      <c r="L415" s="6">
        <v>169748</v>
      </c>
      <c r="M415" s="6">
        <v>0</v>
      </c>
      <c r="N415" s="6">
        <v>6963</v>
      </c>
      <c r="O415" s="6">
        <v>6963</v>
      </c>
      <c r="P415" s="2" t="s">
        <v>25</v>
      </c>
      <c r="Q415" s="2" t="s">
        <v>32</v>
      </c>
      <c r="R415" s="2" t="s">
        <v>27</v>
      </c>
      <c r="S415" s="5">
        <v>1</v>
      </c>
      <c r="T415" s="1">
        <v>0</v>
      </c>
      <c r="U415" s="2">
        <f>T415+S415</f>
        <v>1</v>
      </c>
      <c r="V415" s="1">
        <v>0</v>
      </c>
      <c r="W415" s="2">
        <f t="shared" si="76"/>
        <v>1</v>
      </c>
      <c r="X415" s="8">
        <f t="shared" si="77"/>
        <v>100</v>
      </c>
    </row>
    <row r="416" spans="1:24" ht="15" customHeight="1">
      <c r="A416" s="9">
        <v>46054</v>
      </c>
      <c r="B416" s="2" t="s">
        <v>95</v>
      </c>
      <c r="C416" s="2" t="s">
        <v>803</v>
      </c>
      <c r="D416" s="2" t="s">
        <v>918</v>
      </c>
      <c r="E416" s="2" t="s">
        <v>919</v>
      </c>
      <c r="F416" s="2" t="s">
        <v>88</v>
      </c>
      <c r="G416" s="2" t="s">
        <v>853</v>
      </c>
      <c r="H416" s="2" t="s">
        <v>24</v>
      </c>
      <c r="I416" s="6">
        <v>23</v>
      </c>
      <c r="J416" s="6">
        <v>50</v>
      </c>
      <c r="K416" s="6">
        <v>1180</v>
      </c>
      <c r="L416" s="6">
        <v>1230</v>
      </c>
      <c r="M416" s="6">
        <v>0</v>
      </c>
      <c r="N416" s="6">
        <v>50</v>
      </c>
      <c r="O416" s="6">
        <v>50</v>
      </c>
      <c r="P416" s="2" t="s">
        <v>25</v>
      </c>
      <c r="Q416" s="2" t="s">
        <v>32</v>
      </c>
      <c r="R416" s="2" t="s">
        <v>27</v>
      </c>
      <c r="S416" s="5">
        <v>0</v>
      </c>
      <c r="T416" s="1">
        <v>1</v>
      </c>
      <c r="U416" s="2">
        <f>T416+S416</f>
        <v>1</v>
      </c>
      <c r="V416" s="1">
        <v>0</v>
      </c>
      <c r="W416" s="2">
        <f t="shared" si="76"/>
        <v>1</v>
      </c>
      <c r="X416" s="8">
        <f t="shared" si="77"/>
        <v>0</v>
      </c>
    </row>
    <row r="417" spans="1:24" ht="15" customHeight="1">
      <c r="A417" s="9">
        <v>46054</v>
      </c>
      <c r="B417" s="2" t="s">
        <v>95</v>
      </c>
      <c r="C417" s="2" t="s">
        <v>803</v>
      </c>
      <c r="D417" s="2" t="s">
        <v>920</v>
      </c>
      <c r="E417" s="2" t="s">
        <v>475</v>
      </c>
      <c r="F417" s="2" t="s">
        <v>921</v>
      </c>
      <c r="G417" s="2" t="s">
        <v>896</v>
      </c>
      <c r="H417" s="2" t="s">
        <v>24</v>
      </c>
      <c r="I417" s="6">
        <v>22.38</v>
      </c>
      <c r="J417" s="6">
        <v>50</v>
      </c>
      <c r="K417" s="6">
        <v>1180</v>
      </c>
      <c r="L417" s="6">
        <v>1230</v>
      </c>
      <c r="M417" s="6">
        <v>0</v>
      </c>
      <c r="N417" s="6">
        <v>50</v>
      </c>
      <c r="O417" s="6">
        <v>50</v>
      </c>
      <c r="P417" s="2" t="s">
        <v>25</v>
      </c>
      <c r="Q417" s="2" t="s">
        <v>32</v>
      </c>
      <c r="R417" s="2" t="s">
        <v>27</v>
      </c>
      <c r="S417" s="5">
        <v>0</v>
      </c>
      <c r="T417" s="1">
        <v>1</v>
      </c>
      <c r="U417" s="2">
        <f t="shared" si="78"/>
        <v>1</v>
      </c>
      <c r="V417" s="1">
        <v>0</v>
      </c>
      <c r="W417" s="2">
        <f t="shared" si="76"/>
        <v>1</v>
      </c>
      <c r="X417" s="8">
        <f t="shared" si="77"/>
        <v>0</v>
      </c>
    </row>
    <row r="418" spans="1:24" ht="15" customHeight="1">
      <c r="A418" s="9">
        <v>46054</v>
      </c>
      <c r="B418" s="2" t="s">
        <v>45</v>
      </c>
      <c r="C418" s="2" t="s">
        <v>922</v>
      </c>
      <c r="D418" s="2" t="s">
        <v>923</v>
      </c>
      <c r="E418" s="2" t="s">
        <v>924</v>
      </c>
      <c r="F418" s="2" t="s">
        <v>925</v>
      </c>
      <c r="G418" s="2" t="s">
        <v>926</v>
      </c>
      <c r="H418" s="2" t="s">
        <v>24</v>
      </c>
      <c r="I418" s="6">
        <v>39.799999999999997</v>
      </c>
      <c r="J418" s="6">
        <v>13868097</v>
      </c>
      <c r="K418" s="6">
        <v>1180</v>
      </c>
      <c r="L418" s="6">
        <v>0</v>
      </c>
      <c r="M418" s="6">
        <v>0</v>
      </c>
      <c r="N418" s="6">
        <v>150</v>
      </c>
      <c r="O418" s="6">
        <v>13869427</v>
      </c>
      <c r="P418" s="2" t="s">
        <v>31</v>
      </c>
      <c r="Q418" s="2" t="s">
        <v>32</v>
      </c>
      <c r="R418" s="2" t="s">
        <v>66</v>
      </c>
      <c r="S418" s="5">
        <v>1</v>
      </c>
      <c r="T418" s="1">
        <v>0</v>
      </c>
      <c r="U418" s="2">
        <f t="shared" si="78"/>
        <v>1</v>
      </c>
      <c r="V418" s="1">
        <v>0</v>
      </c>
      <c r="W418" s="2">
        <f t="shared" si="76"/>
        <v>1</v>
      </c>
      <c r="X418" s="8">
        <f t="shared" si="77"/>
        <v>100</v>
      </c>
    </row>
    <row r="419" spans="1:24" ht="15" customHeight="1">
      <c r="A419" s="9">
        <v>46054</v>
      </c>
      <c r="B419" s="2" t="s">
        <v>45</v>
      </c>
      <c r="C419" s="2" t="s">
        <v>922</v>
      </c>
      <c r="D419" s="2" t="s">
        <v>927</v>
      </c>
      <c r="E419" s="2" t="s">
        <v>807</v>
      </c>
      <c r="F419" s="2" t="s">
        <v>928</v>
      </c>
      <c r="G419" s="2" t="s">
        <v>65</v>
      </c>
      <c r="H419" s="2" t="s">
        <v>24</v>
      </c>
      <c r="I419" s="6">
        <v>29.84</v>
      </c>
      <c r="J419" s="6">
        <v>3365</v>
      </c>
      <c r="K419" s="6">
        <v>228333</v>
      </c>
      <c r="L419" s="6">
        <v>231698</v>
      </c>
      <c r="M419" s="6">
        <v>0</v>
      </c>
      <c r="N419" s="6">
        <v>0</v>
      </c>
      <c r="O419" s="6">
        <v>0</v>
      </c>
      <c r="P419" s="2" t="s">
        <v>25</v>
      </c>
      <c r="Q419" s="2" t="s">
        <v>32</v>
      </c>
      <c r="R419" s="2" t="s">
        <v>27</v>
      </c>
      <c r="S419" s="5">
        <v>0</v>
      </c>
      <c r="T419" s="1">
        <v>1</v>
      </c>
      <c r="U419" s="2">
        <f>T419+S419</f>
        <v>1</v>
      </c>
      <c r="V419" s="1">
        <v>0</v>
      </c>
      <c r="W419" s="2">
        <f t="shared" si="76"/>
        <v>1</v>
      </c>
      <c r="X419" s="8">
        <f t="shared" si="77"/>
        <v>0</v>
      </c>
    </row>
    <row r="420" spans="1:24" ht="15" customHeight="1">
      <c r="A420" s="9">
        <v>46054</v>
      </c>
      <c r="B420" s="2" t="s">
        <v>45</v>
      </c>
      <c r="C420" s="2" t="s">
        <v>922</v>
      </c>
      <c r="D420" s="2" t="s">
        <v>929</v>
      </c>
      <c r="E420" s="2" t="s">
        <v>35</v>
      </c>
      <c r="F420" s="2" t="s">
        <v>930</v>
      </c>
      <c r="G420" s="2" t="s">
        <v>931</v>
      </c>
      <c r="H420" s="2" t="s">
        <v>24</v>
      </c>
      <c r="I420" s="6">
        <v>29.84</v>
      </c>
      <c r="J420" s="6">
        <v>20446</v>
      </c>
      <c r="K420" s="6">
        <v>419635</v>
      </c>
      <c r="L420" s="6">
        <v>440081</v>
      </c>
      <c r="M420" s="6">
        <v>0</v>
      </c>
      <c r="N420" s="6">
        <v>0</v>
      </c>
      <c r="O420" s="6">
        <v>0</v>
      </c>
      <c r="P420" s="2" t="s">
        <v>25</v>
      </c>
      <c r="Q420" s="2" t="s">
        <v>32</v>
      </c>
      <c r="R420" s="2" t="s">
        <v>27</v>
      </c>
      <c r="S420" s="5">
        <v>0</v>
      </c>
      <c r="T420" s="1">
        <v>1</v>
      </c>
      <c r="U420" s="2">
        <f t="shared" si="78"/>
        <v>1</v>
      </c>
      <c r="V420" s="1">
        <v>0</v>
      </c>
      <c r="W420" s="2">
        <f t="shared" si="76"/>
        <v>1</v>
      </c>
      <c r="X420" s="8">
        <f t="shared" si="77"/>
        <v>0</v>
      </c>
    </row>
    <row r="421" spans="1:24" ht="15" customHeight="1">
      <c r="A421" s="9">
        <v>46054</v>
      </c>
      <c r="B421" s="2" t="s">
        <v>45</v>
      </c>
      <c r="C421" s="2" t="s">
        <v>922</v>
      </c>
      <c r="D421" s="2" t="s">
        <v>932</v>
      </c>
      <c r="E421" s="2" t="s">
        <v>475</v>
      </c>
      <c r="F421" s="2" t="s">
        <v>933</v>
      </c>
      <c r="G421" s="2" t="s">
        <v>65</v>
      </c>
      <c r="H421" s="2" t="s">
        <v>24</v>
      </c>
      <c r="I421" s="6">
        <v>37.299999999999997</v>
      </c>
      <c r="J421" s="6">
        <v>393892</v>
      </c>
      <c r="K421" s="6">
        <v>304086</v>
      </c>
      <c r="L421" s="6">
        <v>716062</v>
      </c>
      <c r="M421" s="6">
        <v>0</v>
      </c>
      <c r="N421" s="6">
        <v>18084</v>
      </c>
      <c r="O421" s="6">
        <v>0</v>
      </c>
      <c r="P421" s="2" t="s">
        <v>25</v>
      </c>
      <c r="Q421" s="2" t="s">
        <v>32</v>
      </c>
      <c r="R421" s="2" t="s">
        <v>27</v>
      </c>
      <c r="S421" s="5">
        <v>1</v>
      </c>
      <c r="T421" s="1">
        <v>0</v>
      </c>
      <c r="U421" s="2">
        <f t="shared" si="78"/>
        <v>1</v>
      </c>
      <c r="V421" s="1">
        <v>0</v>
      </c>
      <c r="W421" s="2">
        <f t="shared" si="76"/>
        <v>1</v>
      </c>
      <c r="X421" s="8">
        <f t="shared" si="77"/>
        <v>100</v>
      </c>
    </row>
    <row r="422" spans="1:24" ht="15" customHeight="1">
      <c r="A422" s="9">
        <v>46054</v>
      </c>
      <c r="B422" s="2" t="s">
        <v>45</v>
      </c>
      <c r="C422" s="2" t="s">
        <v>922</v>
      </c>
      <c r="D422" s="2" t="s">
        <v>934</v>
      </c>
      <c r="E422" s="2" t="s">
        <v>935</v>
      </c>
      <c r="F422" s="2" t="s">
        <v>936</v>
      </c>
      <c r="G422" s="2" t="s">
        <v>937</v>
      </c>
      <c r="H422" s="2" t="s">
        <v>24</v>
      </c>
      <c r="I422" s="6">
        <v>39.799999999999997</v>
      </c>
      <c r="J422" s="6">
        <v>97118</v>
      </c>
      <c r="K422" s="6">
        <v>1180</v>
      </c>
      <c r="L422" s="6">
        <v>0</v>
      </c>
      <c r="M422" s="6">
        <v>0</v>
      </c>
      <c r="N422" s="6">
        <v>150</v>
      </c>
      <c r="O422" s="6">
        <v>98448</v>
      </c>
      <c r="P422" s="2" t="s">
        <v>40</v>
      </c>
      <c r="Q422" s="2" t="s">
        <v>32</v>
      </c>
      <c r="R422" s="2" t="s">
        <v>652</v>
      </c>
      <c r="S422" s="5">
        <v>1</v>
      </c>
      <c r="T422" s="1">
        <v>0</v>
      </c>
      <c r="U422" s="2">
        <f>T422+S422</f>
        <v>1</v>
      </c>
      <c r="V422" s="1">
        <v>0</v>
      </c>
      <c r="W422" s="2">
        <f t="shared" si="76"/>
        <v>1</v>
      </c>
      <c r="X422" s="8">
        <f t="shared" si="77"/>
        <v>100</v>
      </c>
    </row>
    <row r="423" spans="1:24" ht="15" customHeight="1">
      <c r="A423" s="9">
        <v>46054</v>
      </c>
      <c r="B423" s="2" t="s">
        <v>45</v>
      </c>
      <c r="C423" s="2" t="s">
        <v>922</v>
      </c>
      <c r="D423" s="2" t="s">
        <v>938</v>
      </c>
      <c r="E423" s="2" t="s">
        <v>475</v>
      </c>
      <c r="F423" s="2" t="s">
        <v>939</v>
      </c>
      <c r="G423" s="2" t="s">
        <v>184</v>
      </c>
      <c r="H423" s="2" t="s">
        <v>24</v>
      </c>
      <c r="I423" s="6">
        <v>29.84</v>
      </c>
      <c r="J423" s="6">
        <v>81759</v>
      </c>
      <c r="K423" s="6">
        <v>1191243.42</v>
      </c>
      <c r="L423" s="6">
        <v>669429</v>
      </c>
      <c r="M423" s="6">
        <v>0</v>
      </c>
      <c r="N423" s="6">
        <v>2358</v>
      </c>
      <c r="O423" s="6">
        <v>605931.42000000004</v>
      </c>
      <c r="P423" s="2" t="s">
        <v>25</v>
      </c>
      <c r="Q423" s="2" t="s">
        <v>32</v>
      </c>
      <c r="R423" s="2" t="s">
        <v>27</v>
      </c>
      <c r="S423" s="5">
        <v>1</v>
      </c>
      <c r="T423" s="1">
        <v>0</v>
      </c>
      <c r="U423" s="2">
        <f>T423+S423</f>
        <v>1</v>
      </c>
      <c r="V423" s="1">
        <v>0</v>
      </c>
      <c r="W423" s="2">
        <f t="shared" si="76"/>
        <v>1</v>
      </c>
      <c r="X423" s="8">
        <f t="shared" si="77"/>
        <v>100</v>
      </c>
    </row>
    <row r="424" spans="1:24" ht="15" customHeight="1">
      <c r="A424" s="9">
        <v>46054</v>
      </c>
      <c r="B424" s="2" t="s">
        <v>45</v>
      </c>
      <c r="C424" s="2" t="s">
        <v>922</v>
      </c>
      <c r="D424" s="2" t="s">
        <v>940</v>
      </c>
      <c r="E424" s="2" t="s">
        <v>935</v>
      </c>
      <c r="F424" s="2" t="s">
        <v>936</v>
      </c>
      <c r="G424" s="2" t="s">
        <v>941</v>
      </c>
      <c r="H424" s="2" t="s">
        <v>24</v>
      </c>
      <c r="I424" s="6">
        <v>39.799999999999997</v>
      </c>
      <c r="J424" s="6">
        <v>10235880</v>
      </c>
      <c r="K424" s="6">
        <v>0</v>
      </c>
      <c r="L424" s="6">
        <v>0</v>
      </c>
      <c r="M424" s="6">
        <v>0</v>
      </c>
      <c r="N424" s="6">
        <v>0</v>
      </c>
      <c r="O424" s="6">
        <v>10235880</v>
      </c>
      <c r="P424" s="2" t="s">
        <v>40</v>
      </c>
      <c r="Q424" s="2" t="s">
        <v>26</v>
      </c>
      <c r="R424" s="2" t="s">
        <v>652</v>
      </c>
      <c r="S424" s="5">
        <v>0</v>
      </c>
      <c r="T424" s="1">
        <v>0</v>
      </c>
      <c r="U424" s="2">
        <f>T424+S424</f>
        <v>0</v>
      </c>
      <c r="V424" s="1">
        <v>1</v>
      </c>
      <c r="W424" s="2">
        <f t="shared" si="76"/>
        <v>1</v>
      </c>
      <c r="X424" s="8" t="e">
        <f t="shared" si="77"/>
        <v>#DIV/0!</v>
      </c>
    </row>
    <row r="425" spans="1:24" ht="15" customHeight="1">
      <c r="A425" s="9">
        <v>46054</v>
      </c>
      <c r="B425" s="2" t="s">
        <v>45</v>
      </c>
      <c r="C425" s="2" t="s">
        <v>922</v>
      </c>
      <c r="D425" s="2" t="s">
        <v>1611</v>
      </c>
      <c r="E425" s="2" t="s">
        <v>60</v>
      </c>
      <c r="F425" s="2" t="s">
        <v>1612</v>
      </c>
      <c r="G425" s="2" t="s">
        <v>65</v>
      </c>
      <c r="H425" s="2" t="s">
        <v>24</v>
      </c>
      <c r="I425" s="6">
        <v>29.84</v>
      </c>
      <c r="J425" s="6">
        <v>4420626</v>
      </c>
      <c r="K425" s="6">
        <v>244581</v>
      </c>
      <c r="L425" s="6">
        <v>265000</v>
      </c>
      <c r="M425" s="6">
        <v>0</v>
      </c>
      <c r="N425" s="6">
        <v>34391</v>
      </c>
      <c r="O425" s="6">
        <v>4434598</v>
      </c>
      <c r="P425" s="2" t="s">
        <v>25</v>
      </c>
      <c r="Q425" s="2" t="s">
        <v>32</v>
      </c>
      <c r="R425" s="2" t="s">
        <v>50</v>
      </c>
      <c r="S425" s="5">
        <v>1</v>
      </c>
      <c r="T425" s="1">
        <v>0</v>
      </c>
      <c r="U425" s="2">
        <f t="shared" si="78"/>
        <v>1</v>
      </c>
      <c r="V425" s="1">
        <v>0</v>
      </c>
      <c r="W425" s="2">
        <f t="shared" si="76"/>
        <v>1</v>
      </c>
      <c r="X425" s="8">
        <f t="shared" si="77"/>
        <v>100</v>
      </c>
    </row>
    <row r="426" spans="1:24" ht="15" customHeight="1">
      <c r="A426" s="9">
        <v>46054</v>
      </c>
      <c r="B426" s="2" t="s">
        <v>45</v>
      </c>
      <c r="C426" s="2" t="s">
        <v>922</v>
      </c>
      <c r="D426" s="2" t="s">
        <v>942</v>
      </c>
      <c r="E426" s="2" t="s">
        <v>475</v>
      </c>
      <c r="F426" s="2" t="s">
        <v>943</v>
      </c>
      <c r="G426" s="2" t="s">
        <v>944</v>
      </c>
      <c r="H426" s="2" t="s">
        <v>24</v>
      </c>
      <c r="I426" s="6">
        <v>39.799999999999997</v>
      </c>
      <c r="J426" s="6">
        <v>38360</v>
      </c>
      <c r="K426" s="6">
        <v>268460</v>
      </c>
      <c r="L426" s="6">
        <v>278471</v>
      </c>
      <c r="M426" s="6">
        <v>0</v>
      </c>
      <c r="N426" s="6">
        <v>0</v>
      </c>
      <c r="O426" s="6">
        <v>28349</v>
      </c>
      <c r="P426" s="2" t="s">
        <v>25</v>
      </c>
      <c r="Q426" s="2" t="s">
        <v>32</v>
      </c>
      <c r="R426" s="2" t="s">
        <v>27</v>
      </c>
      <c r="S426" s="5">
        <v>1</v>
      </c>
      <c r="T426" s="1">
        <v>0</v>
      </c>
      <c r="U426" s="2">
        <f t="shared" si="78"/>
        <v>1</v>
      </c>
      <c r="V426" s="1">
        <v>0</v>
      </c>
      <c r="W426" s="2">
        <f t="shared" si="76"/>
        <v>1</v>
      </c>
      <c r="X426" s="8">
        <f t="shared" si="77"/>
        <v>100</v>
      </c>
    </row>
    <row r="427" spans="1:24" ht="15" customHeight="1">
      <c r="A427" s="9">
        <v>46054</v>
      </c>
      <c r="B427" s="2" t="s">
        <v>45</v>
      </c>
      <c r="C427" s="2" t="s">
        <v>922</v>
      </c>
      <c r="D427" s="2" t="s">
        <v>945</v>
      </c>
      <c r="E427" s="2" t="s">
        <v>475</v>
      </c>
      <c r="F427" s="2" t="s">
        <v>946</v>
      </c>
      <c r="G427" s="2" t="s">
        <v>947</v>
      </c>
      <c r="H427" s="2" t="s">
        <v>24</v>
      </c>
      <c r="I427" s="6">
        <v>37.299999999999997</v>
      </c>
      <c r="J427" s="6">
        <v>50</v>
      </c>
      <c r="K427" s="6">
        <v>1180</v>
      </c>
      <c r="L427" s="6">
        <v>1230</v>
      </c>
      <c r="M427" s="6">
        <v>0</v>
      </c>
      <c r="N427" s="6">
        <v>50</v>
      </c>
      <c r="O427" s="6">
        <v>50</v>
      </c>
      <c r="P427" s="2" t="s">
        <v>25</v>
      </c>
      <c r="Q427" s="2" t="s">
        <v>32</v>
      </c>
      <c r="R427" s="2" t="s">
        <v>652</v>
      </c>
      <c r="S427" s="5">
        <v>0</v>
      </c>
      <c r="T427" s="1">
        <v>1</v>
      </c>
      <c r="U427" s="2">
        <f t="shared" si="78"/>
        <v>1</v>
      </c>
      <c r="V427" s="1">
        <v>0</v>
      </c>
      <c r="W427" s="2">
        <f t="shared" si="76"/>
        <v>1</v>
      </c>
      <c r="X427" s="8">
        <f t="shared" si="77"/>
        <v>0</v>
      </c>
    </row>
    <row r="428" spans="1:24" ht="15" customHeight="1">
      <c r="A428" s="9">
        <v>46054</v>
      </c>
      <c r="B428" s="2" t="s">
        <v>45</v>
      </c>
      <c r="C428" s="2" t="s">
        <v>922</v>
      </c>
      <c r="D428" s="2" t="s">
        <v>948</v>
      </c>
      <c r="E428" s="2" t="s">
        <v>949</v>
      </c>
      <c r="F428" s="2" t="s">
        <v>911</v>
      </c>
      <c r="G428" s="2" t="s">
        <v>950</v>
      </c>
      <c r="H428" s="2" t="s">
        <v>24</v>
      </c>
      <c r="I428" s="6">
        <v>30</v>
      </c>
      <c r="J428" s="6">
        <v>33675</v>
      </c>
      <c r="K428" s="6">
        <v>241037</v>
      </c>
      <c r="L428" s="6">
        <v>275846</v>
      </c>
      <c r="M428" s="6">
        <v>0</v>
      </c>
      <c r="N428" s="6">
        <v>1134</v>
      </c>
      <c r="O428" s="6">
        <v>0</v>
      </c>
      <c r="P428" s="2" t="s">
        <v>25</v>
      </c>
      <c r="Q428" s="2" t="s">
        <v>32</v>
      </c>
      <c r="R428" s="2" t="s">
        <v>50</v>
      </c>
      <c r="S428" s="5">
        <v>1</v>
      </c>
      <c r="T428" s="1">
        <v>0</v>
      </c>
      <c r="U428" s="2">
        <f t="shared" si="78"/>
        <v>1</v>
      </c>
      <c r="V428" s="1">
        <v>0</v>
      </c>
      <c r="W428" s="2">
        <f t="shared" si="76"/>
        <v>1</v>
      </c>
      <c r="X428" s="8">
        <f t="shared" si="77"/>
        <v>100</v>
      </c>
    </row>
    <row r="429" spans="1:24" ht="15" customHeight="1">
      <c r="A429" s="9">
        <v>46054</v>
      </c>
      <c r="B429" s="2" t="s">
        <v>45</v>
      </c>
      <c r="C429" s="2" t="s">
        <v>922</v>
      </c>
      <c r="D429" s="2" t="s">
        <v>951</v>
      </c>
      <c r="E429" s="2" t="s">
        <v>60</v>
      </c>
      <c r="F429" s="2" t="s">
        <v>952</v>
      </c>
      <c r="G429" s="2" t="s">
        <v>953</v>
      </c>
      <c r="H429" s="2" t="s">
        <v>24</v>
      </c>
      <c r="I429" s="6">
        <v>30</v>
      </c>
      <c r="J429" s="6">
        <v>50</v>
      </c>
      <c r="K429" s="6">
        <v>1180</v>
      </c>
      <c r="L429" s="6">
        <v>2410</v>
      </c>
      <c r="M429" s="6">
        <v>0</v>
      </c>
      <c r="N429" s="6">
        <v>3</v>
      </c>
      <c r="O429" s="6">
        <v>-1177</v>
      </c>
      <c r="P429" s="2" t="s">
        <v>25</v>
      </c>
      <c r="Q429" s="2" t="s">
        <v>32</v>
      </c>
      <c r="R429" s="2" t="s">
        <v>50</v>
      </c>
      <c r="S429" s="5">
        <v>0</v>
      </c>
      <c r="T429" s="1">
        <v>1</v>
      </c>
      <c r="U429" s="2">
        <f>T429+S429</f>
        <v>1</v>
      </c>
      <c r="V429" s="1">
        <v>0</v>
      </c>
      <c r="W429" s="2">
        <f t="shared" si="76"/>
        <v>1</v>
      </c>
      <c r="X429" s="8">
        <f t="shared" si="77"/>
        <v>0</v>
      </c>
    </row>
    <row r="430" spans="1:24" ht="15" customHeight="1">
      <c r="A430" s="9">
        <v>46054</v>
      </c>
      <c r="B430" s="2" t="s">
        <v>45</v>
      </c>
      <c r="C430" s="2" t="s">
        <v>922</v>
      </c>
      <c r="D430" s="2" t="s">
        <v>954</v>
      </c>
      <c r="E430" s="2" t="s">
        <v>475</v>
      </c>
      <c r="F430" s="2" t="s">
        <v>955</v>
      </c>
      <c r="G430" s="2" t="s">
        <v>184</v>
      </c>
      <c r="H430" s="2" t="s">
        <v>24</v>
      </c>
      <c r="I430" s="6">
        <v>29.84</v>
      </c>
      <c r="J430" s="6">
        <v>128710</v>
      </c>
      <c r="K430" s="6">
        <v>1180</v>
      </c>
      <c r="L430" s="6">
        <v>129940</v>
      </c>
      <c r="M430" s="6">
        <v>0</v>
      </c>
      <c r="N430" s="6">
        <v>50</v>
      </c>
      <c r="O430" s="6">
        <v>0</v>
      </c>
      <c r="P430" s="2" t="s">
        <v>25</v>
      </c>
      <c r="Q430" s="2" t="s">
        <v>32</v>
      </c>
      <c r="R430" s="2" t="s">
        <v>27</v>
      </c>
      <c r="S430" s="5">
        <v>0</v>
      </c>
      <c r="T430" s="1">
        <v>1</v>
      </c>
      <c r="U430" s="2">
        <f>T430+S430</f>
        <v>1</v>
      </c>
      <c r="V430" s="1">
        <v>0</v>
      </c>
      <c r="W430" s="2">
        <f t="shared" si="76"/>
        <v>1</v>
      </c>
      <c r="X430" s="8">
        <f t="shared" si="77"/>
        <v>0</v>
      </c>
    </row>
    <row r="431" spans="1:24" ht="15" customHeight="1">
      <c r="A431" s="9">
        <v>46054</v>
      </c>
      <c r="B431" s="2" t="s">
        <v>45</v>
      </c>
      <c r="C431" s="2" t="s">
        <v>922</v>
      </c>
      <c r="D431" s="2" t="s">
        <v>956</v>
      </c>
      <c r="E431" s="2" t="s">
        <v>949</v>
      </c>
      <c r="F431" s="2" t="s">
        <v>957</v>
      </c>
      <c r="G431" s="2" t="s">
        <v>958</v>
      </c>
      <c r="H431" s="2" t="s">
        <v>24</v>
      </c>
      <c r="I431" s="6">
        <v>30</v>
      </c>
      <c r="J431" s="6">
        <v>46620</v>
      </c>
      <c r="K431" s="6">
        <v>155579</v>
      </c>
      <c r="L431" s="6">
        <v>203420</v>
      </c>
      <c r="M431" s="6">
        <v>0</v>
      </c>
      <c r="N431" s="6">
        <v>1221</v>
      </c>
      <c r="O431" s="6">
        <v>0</v>
      </c>
      <c r="P431" s="2" t="s">
        <v>25</v>
      </c>
      <c r="Q431" s="2" t="s">
        <v>32</v>
      </c>
      <c r="R431" s="2" t="s">
        <v>50</v>
      </c>
      <c r="S431" s="5">
        <v>0</v>
      </c>
      <c r="T431" s="1">
        <v>1</v>
      </c>
      <c r="U431" s="2">
        <f t="shared" si="78"/>
        <v>1</v>
      </c>
      <c r="V431" s="1">
        <v>0</v>
      </c>
      <c r="W431" s="2">
        <f t="shared" si="76"/>
        <v>1</v>
      </c>
      <c r="X431" s="8">
        <f t="shared" si="77"/>
        <v>0</v>
      </c>
    </row>
    <row r="432" spans="1:24" ht="15" customHeight="1">
      <c r="A432" s="9">
        <v>46054</v>
      </c>
      <c r="B432" s="2" t="s">
        <v>45</v>
      </c>
      <c r="C432" s="2" t="s">
        <v>922</v>
      </c>
      <c r="D432" s="2" t="s">
        <v>959</v>
      </c>
      <c r="E432" s="2" t="s">
        <v>60</v>
      </c>
      <c r="F432" s="2" t="s">
        <v>960</v>
      </c>
      <c r="G432" s="2" t="s">
        <v>49</v>
      </c>
      <c r="H432" s="2" t="s">
        <v>24</v>
      </c>
      <c r="I432" s="6">
        <v>30</v>
      </c>
      <c r="J432" s="6">
        <v>1058602</v>
      </c>
      <c r="K432" s="6">
        <v>556398</v>
      </c>
      <c r="L432" s="6">
        <v>575000</v>
      </c>
      <c r="M432" s="6">
        <v>0</v>
      </c>
      <c r="N432" s="6">
        <v>94352</v>
      </c>
      <c r="O432" s="6">
        <v>1134352</v>
      </c>
      <c r="P432" s="2" t="s">
        <v>25</v>
      </c>
      <c r="Q432" s="2" t="s">
        <v>32</v>
      </c>
      <c r="R432" s="2" t="s">
        <v>50</v>
      </c>
      <c r="S432" s="5">
        <v>0</v>
      </c>
      <c r="T432" s="1">
        <v>1</v>
      </c>
      <c r="U432" s="2">
        <f t="shared" si="78"/>
        <v>1</v>
      </c>
      <c r="V432" s="1">
        <v>0</v>
      </c>
      <c r="W432" s="2">
        <f t="shared" si="76"/>
        <v>1</v>
      </c>
      <c r="X432" s="8">
        <f t="shared" si="77"/>
        <v>0</v>
      </c>
    </row>
    <row r="433" spans="1:24" ht="15" customHeight="1">
      <c r="A433" s="9">
        <v>46054</v>
      </c>
      <c r="B433" s="2" t="s">
        <v>45</v>
      </c>
      <c r="C433" s="2" t="s">
        <v>922</v>
      </c>
      <c r="D433" s="2" t="s">
        <v>961</v>
      </c>
      <c r="E433" s="2" t="s">
        <v>949</v>
      </c>
      <c r="F433" s="2" t="s">
        <v>962</v>
      </c>
      <c r="G433" s="2" t="s">
        <v>49</v>
      </c>
      <c r="H433" s="2" t="s">
        <v>24</v>
      </c>
      <c r="I433" s="6">
        <v>30</v>
      </c>
      <c r="J433" s="6">
        <v>2622097</v>
      </c>
      <c r="K433" s="6">
        <v>193510</v>
      </c>
      <c r="L433" s="6">
        <v>0</v>
      </c>
      <c r="M433" s="6">
        <v>0</v>
      </c>
      <c r="N433" s="6">
        <v>23159</v>
      </c>
      <c r="O433" s="6">
        <v>2838766</v>
      </c>
      <c r="P433" s="2" t="s">
        <v>25</v>
      </c>
      <c r="Q433" s="2" t="s">
        <v>32</v>
      </c>
      <c r="R433" s="2" t="s">
        <v>50</v>
      </c>
      <c r="S433" s="5">
        <v>1</v>
      </c>
      <c r="T433" s="1">
        <v>0</v>
      </c>
      <c r="U433" s="2">
        <f t="shared" si="78"/>
        <v>1</v>
      </c>
      <c r="V433" s="1">
        <v>0</v>
      </c>
      <c r="W433" s="2">
        <f t="shared" si="76"/>
        <v>1</v>
      </c>
      <c r="X433" s="8">
        <f t="shared" si="77"/>
        <v>100</v>
      </c>
    </row>
    <row r="434" spans="1:24" ht="15" customHeight="1">
      <c r="A434" s="9">
        <v>46054</v>
      </c>
      <c r="B434" s="2" t="s">
        <v>45</v>
      </c>
      <c r="C434" s="2" t="s">
        <v>922</v>
      </c>
      <c r="D434" s="2" t="s">
        <v>1613</v>
      </c>
      <c r="E434" s="2" t="s">
        <v>60</v>
      </c>
      <c r="F434" s="2" t="s">
        <v>1614</v>
      </c>
      <c r="G434" s="2" t="s">
        <v>1615</v>
      </c>
      <c r="H434" s="2" t="s">
        <v>24</v>
      </c>
      <c r="I434" s="6">
        <v>29.84</v>
      </c>
      <c r="J434" s="6">
        <v>4258642</v>
      </c>
      <c r="K434" s="6">
        <v>57543</v>
      </c>
      <c r="L434" s="6">
        <v>65000</v>
      </c>
      <c r="M434" s="6">
        <v>0</v>
      </c>
      <c r="N434" s="6">
        <v>17570</v>
      </c>
      <c r="O434" s="6">
        <v>4268755</v>
      </c>
      <c r="P434" s="2" t="s">
        <v>25</v>
      </c>
      <c r="Q434" s="2" t="s">
        <v>32</v>
      </c>
      <c r="R434" s="2" t="s">
        <v>50</v>
      </c>
      <c r="S434" s="5">
        <v>1</v>
      </c>
      <c r="T434" s="1">
        <v>0</v>
      </c>
      <c r="U434" s="2">
        <f t="shared" si="78"/>
        <v>1</v>
      </c>
      <c r="V434" s="1">
        <v>0</v>
      </c>
      <c r="W434" s="2">
        <f t="shared" si="76"/>
        <v>1</v>
      </c>
      <c r="X434" s="8">
        <f t="shared" si="77"/>
        <v>100</v>
      </c>
    </row>
    <row r="435" spans="1:24" ht="15" customHeight="1">
      <c r="A435" s="9">
        <v>46054</v>
      </c>
      <c r="B435" s="2" t="s">
        <v>45</v>
      </c>
      <c r="C435" s="2" t="s">
        <v>922</v>
      </c>
      <c r="D435" s="2" t="s">
        <v>963</v>
      </c>
      <c r="E435" s="2" t="s">
        <v>60</v>
      </c>
      <c r="F435" s="2" t="s">
        <v>964</v>
      </c>
      <c r="G435" s="2" t="s">
        <v>490</v>
      </c>
      <c r="H435" s="2" t="s">
        <v>24</v>
      </c>
      <c r="I435" s="6">
        <v>30</v>
      </c>
      <c r="J435" s="6">
        <v>872915</v>
      </c>
      <c r="K435" s="6">
        <v>91489</v>
      </c>
      <c r="L435" s="6">
        <v>115000</v>
      </c>
      <c r="M435" s="6">
        <v>0</v>
      </c>
      <c r="N435" s="6">
        <v>11085</v>
      </c>
      <c r="O435" s="6">
        <v>860489</v>
      </c>
      <c r="P435" s="2" t="s">
        <v>25</v>
      </c>
      <c r="Q435" s="2" t="s">
        <v>32</v>
      </c>
      <c r="R435" s="2" t="s">
        <v>50</v>
      </c>
      <c r="S435" s="5">
        <v>1</v>
      </c>
      <c r="T435" s="1">
        <v>0</v>
      </c>
      <c r="U435" s="2">
        <f>T435+S435</f>
        <v>1</v>
      </c>
      <c r="V435" s="1">
        <v>0</v>
      </c>
      <c r="W435" s="2">
        <f t="shared" ref="W435:W453" si="83">V435+U435</f>
        <v>1</v>
      </c>
      <c r="X435" s="8">
        <f t="shared" si="77"/>
        <v>100</v>
      </c>
    </row>
    <row r="436" spans="1:24" ht="15" customHeight="1">
      <c r="A436" s="9">
        <v>46054</v>
      </c>
      <c r="B436" s="2" t="s">
        <v>45</v>
      </c>
      <c r="C436" s="2" t="s">
        <v>922</v>
      </c>
      <c r="D436" s="2" t="s">
        <v>965</v>
      </c>
      <c r="E436" s="2" t="s">
        <v>60</v>
      </c>
      <c r="F436" s="2" t="s">
        <v>966</v>
      </c>
      <c r="G436" s="2" t="s">
        <v>967</v>
      </c>
      <c r="H436" s="2" t="s">
        <v>24</v>
      </c>
      <c r="I436" s="6">
        <v>44.76</v>
      </c>
      <c r="J436" s="6">
        <v>3181</v>
      </c>
      <c r="K436" s="6">
        <v>1874</v>
      </c>
      <c r="L436" s="6">
        <v>5055</v>
      </c>
      <c r="M436" s="6">
        <v>0</v>
      </c>
      <c r="N436" s="6">
        <v>0</v>
      </c>
      <c r="O436" s="6">
        <v>0</v>
      </c>
      <c r="P436" s="2" t="s">
        <v>25</v>
      </c>
      <c r="Q436" s="2" t="s">
        <v>32</v>
      </c>
      <c r="R436" s="2" t="s">
        <v>50</v>
      </c>
      <c r="S436" s="5">
        <v>1</v>
      </c>
      <c r="T436" s="1">
        <v>0</v>
      </c>
      <c r="U436" s="2">
        <f t="shared" ref="U436:U453" si="84">T436+S436</f>
        <v>1</v>
      </c>
      <c r="V436" s="1">
        <v>0</v>
      </c>
      <c r="W436" s="2">
        <f t="shared" si="83"/>
        <v>1</v>
      </c>
      <c r="X436" s="8">
        <f t="shared" si="77"/>
        <v>100</v>
      </c>
    </row>
    <row r="437" spans="1:24" ht="15" customHeight="1">
      <c r="A437" s="9">
        <v>46054</v>
      </c>
      <c r="B437" s="2" t="s">
        <v>45</v>
      </c>
      <c r="C437" s="2" t="s">
        <v>922</v>
      </c>
      <c r="D437" s="2" t="s">
        <v>968</v>
      </c>
      <c r="E437" s="2" t="s">
        <v>807</v>
      </c>
      <c r="F437" s="2" t="s">
        <v>969</v>
      </c>
      <c r="G437" s="2" t="s">
        <v>970</v>
      </c>
      <c r="H437" s="2" t="s">
        <v>24</v>
      </c>
      <c r="I437" s="6">
        <v>29.84</v>
      </c>
      <c r="J437" s="6">
        <v>6401623</v>
      </c>
      <c r="K437" s="6">
        <v>187527</v>
      </c>
      <c r="L437" s="6">
        <v>0</v>
      </c>
      <c r="M437" s="6">
        <v>0</v>
      </c>
      <c r="N437" s="6">
        <v>24540</v>
      </c>
      <c r="O437" s="6">
        <v>6613690</v>
      </c>
      <c r="P437" s="2" t="s">
        <v>25</v>
      </c>
      <c r="Q437" s="2" t="s">
        <v>32</v>
      </c>
      <c r="R437" s="2" t="s">
        <v>27</v>
      </c>
      <c r="S437" s="5">
        <v>1</v>
      </c>
      <c r="T437" s="1">
        <v>0</v>
      </c>
      <c r="U437" s="2">
        <f t="shared" si="84"/>
        <v>1</v>
      </c>
      <c r="V437" s="1">
        <v>0</v>
      </c>
      <c r="W437" s="2">
        <f t="shared" si="83"/>
        <v>1</v>
      </c>
      <c r="X437" s="8">
        <f t="shared" ref="X437:X454" si="85">100/U437*S437</f>
        <v>100</v>
      </c>
    </row>
    <row r="438" spans="1:24" ht="15" customHeight="1">
      <c r="A438" s="9">
        <v>46054</v>
      </c>
      <c r="B438" s="2" t="s">
        <v>45</v>
      </c>
      <c r="C438" s="2" t="s">
        <v>922</v>
      </c>
      <c r="D438" s="2" t="s">
        <v>1723</v>
      </c>
      <c r="E438" s="2" t="s">
        <v>88</v>
      </c>
      <c r="F438" s="2" t="s">
        <v>1724</v>
      </c>
      <c r="G438" s="2" t="s">
        <v>1725</v>
      </c>
      <c r="H438" s="2" t="s">
        <v>24</v>
      </c>
      <c r="I438" s="6">
        <v>40</v>
      </c>
      <c r="J438" s="6">
        <v>1731216</v>
      </c>
      <c r="K438" s="6">
        <v>1310</v>
      </c>
      <c r="L438" s="6">
        <v>15000</v>
      </c>
      <c r="M438" s="6">
        <v>0</v>
      </c>
      <c r="N438" s="6">
        <v>447</v>
      </c>
      <c r="O438" s="6">
        <v>1717973</v>
      </c>
      <c r="P438" s="2" t="s">
        <v>25</v>
      </c>
      <c r="Q438" s="2" t="s">
        <v>32</v>
      </c>
      <c r="R438" s="2" t="s">
        <v>652</v>
      </c>
      <c r="S438" s="5">
        <v>0</v>
      </c>
      <c r="T438" s="1">
        <v>1</v>
      </c>
      <c r="U438" s="2">
        <f>T438+S438</f>
        <v>1</v>
      </c>
      <c r="V438" s="1">
        <v>0</v>
      </c>
      <c r="W438" s="2">
        <f t="shared" si="83"/>
        <v>1</v>
      </c>
      <c r="X438" s="8">
        <f t="shared" si="85"/>
        <v>0</v>
      </c>
    </row>
    <row r="439" spans="1:24" ht="15" customHeight="1">
      <c r="A439" s="9">
        <v>46054</v>
      </c>
      <c r="B439" s="2" t="s">
        <v>45</v>
      </c>
      <c r="C439" s="2" t="s">
        <v>922</v>
      </c>
      <c r="D439" s="2" t="s">
        <v>1726</v>
      </c>
      <c r="E439" s="2" t="s">
        <v>767</v>
      </c>
      <c r="F439" s="2" t="s">
        <v>1727</v>
      </c>
      <c r="G439" s="2" t="s">
        <v>1728</v>
      </c>
      <c r="H439" s="2" t="s">
        <v>24</v>
      </c>
      <c r="I439" s="6">
        <v>29.84</v>
      </c>
      <c r="J439" s="6">
        <v>8514209</v>
      </c>
      <c r="K439" s="6">
        <v>221519</v>
      </c>
      <c r="L439" s="6">
        <v>250000</v>
      </c>
      <c r="M439" s="6">
        <v>0</v>
      </c>
      <c r="N439" s="6">
        <v>53649</v>
      </c>
      <c r="O439" s="6">
        <v>8539377</v>
      </c>
      <c r="P439" s="2" t="s">
        <v>25</v>
      </c>
      <c r="Q439" s="2" t="s">
        <v>32</v>
      </c>
      <c r="R439" s="2" t="s">
        <v>50</v>
      </c>
      <c r="S439" s="5">
        <v>0</v>
      </c>
      <c r="T439" s="1">
        <v>1</v>
      </c>
      <c r="U439" s="2">
        <f>T439+S439</f>
        <v>1</v>
      </c>
      <c r="V439" s="1">
        <v>0</v>
      </c>
      <c r="W439" s="2">
        <f t="shared" si="83"/>
        <v>1</v>
      </c>
      <c r="X439" s="8">
        <f t="shared" si="85"/>
        <v>0</v>
      </c>
    </row>
    <row r="440" spans="1:24" ht="15" customHeight="1">
      <c r="A440" s="9">
        <v>46054</v>
      </c>
      <c r="B440" s="2" t="s">
        <v>45</v>
      </c>
      <c r="C440" s="2" t="s">
        <v>922</v>
      </c>
      <c r="D440" s="2" t="s">
        <v>971</v>
      </c>
      <c r="E440" s="2" t="s">
        <v>972</v>
      </c>
      <c r="F440" s="2" t="s">
        <v>973</v>
      </c>
      <c r="G440" s="2" t="s">
        <v>974</v>
      </c>
      <c r="H440" s="2" t="s">
        <v>531</v>
      </c>
      <c r="I440" s="6">
        <v>27</v>
      </c>
      <c r="J440" s="6">
        <v>898910</v>
      </c>
      <c r="K440" s="6">
        <v>0</v>
      </c>
      <c r="L440" s="6">
        <v>0</v>
      </c>
      <c r="M440" s="6">
        <v>0</v>
      </c>
      <c r="N440" s="6">
        <v>0</v>
      </c>
      <c r="O440" s="6">
        <v>898910</v>
      </c>
      <c r="P440" s="2" t="s">
        <v>31</v>
      </c>
      <c r="Q440" s="2" t="s">
        <v>26</v>
      </c>
      <c r="R440" s="2" t="s">
        <v>532</v>
      </c>
      <c r="S440" s="5">
        <v>0</v>
      </c>
      <c r="T440" s="1">
        <v>0</v>
      </c>
      <c r="U440" s="2">
        <f>T440+S440</f>
        <v>0</v>
      </c>
      <c r="V440" s="1">
        <v>1</v>
      </c>
      <c r="W440" s="2">
        <f t="shared" si="83"/>
        <v>1</v>
      </c>
      <c r="X440" s="8" t="e">
        <f t="shared" si="85"/>
        <v>#DIV/0!</v>
      </c>
    </row>
    <row r="441" spans="1:24" ht="15" customHeight="1">
      <c r="A441" s="9">
        <v>46054</v>
      </c>
      <c r="B441" s="2" t="s">
        <v>45</v>
      </c>
      <c r="C441" s="2" t="s">
        <v>922</v>
      </c>
      <c r="D441" s="2" t="s">
        <v>975</v>
      </c>
      <c r="E441" s="2" t="s">
        <v>949</v>
      </c>
      <c r="F441" s="2" t="s">
        <v>911</v>
      </c>
      <c r="G441" s="2" t="s">
        <v>976</v>
      </c>
      <c r="H441" s="2" t="s">
        <v>24</v>
      </c>
      <c r="I441" s="6">
        <v>29.84</v>
      </c>
      <c r="J441" s="6">
        <v>35368</v>
      </c>
      <c r="K441" s="6">
        <v>154173</v>
      </c>
      <c r="L441" s="6">
        <v>190920</v>
      </c>
      <c r="M441" s="6">
        <v>0</v>
      </c>
      <c r="N441" s="6">
        <v>1379</v>
      </c>
      <c r="O441" s="6">
        <v>0</v>
      </c>
      <c r="P441" s="2" t="s">
        <v>25</v>
      </c>
      <c r="Q441" s="2" t="s">
        <v>32</v>
      </c>
      <c r="R441" s="2" t="s">
        <v>50</v>
      </c>
      <c r="S441" s="5">
        <v>1</v>
      </c>
      <c r="T441" s="1">
        <v>0</v>
      </c>
      <c r="U441" s="2">
        <f t="shared" si="84"/>
        <v>1</v>
      </c>
      <c r="V441" s="1">
        <v>0</v>
      </c>
      <c r="W441" s="2">
        <f t="shared" si="83"/>
        <v>1</v>
      </c>
      <c r="X441" s="8">
        <f t="shared" si="85"/>
        <v>100</v>
      </c>
    </row>
    <row r="442" spans="1:24" ht="15" customHeight="1">
      <c r="A442" s="9">
        <v>46054</v>
      </c>
      <c r="B442" s="2" t="s">
        <v>45</v>
      </c>
      <c r="C442" s="2" t="s">
        <v>922</v>
      </c>
      <c r="D442" s="2" t="s">
        <v>977</v>
      </c>
      <c r="E442" s="2" t="s">
        <v>935</v>
      </c>
      <c r="F442" s="2" t="s">
        <v>936</v>
      </c>
      <c r="G442" s="2" t="s">
        <v>978</v>
      </c>
      <c r="H442" s="2" t="s">
        <v>24</v>
      </c>
      <c r="I442" s="6">
        <v>39.799999999999997</v>
      </c>
      <c r="J442" s="6">
        <v>51964</v>
      </c>
      <c r="K442" s="6">
        <v>1180</v>
      </c>
      <c r="L442" s="6">
        <v>0</v>
      </c>
      <c r="M442" s="6">
        <v>0</v>
      </c>
      <c r="N442" s="6">
        <v>150</v>
      </c>
      <c r="O442" s="6">
        <v>53294</v>
      </c>
      <c r="P442" s="2" t="s">
        <v>40</v>
      </c>
      <c r="Q442" s="2" t="s">
        <v>32</v>
      </c>
      <c r="R442" s="2" t="s">
        <v>652</v>
      </c>
      <c r="S442" s="5">
        <v>0</v>
      </c>
      <c r="T442" s="1">
        <v>1</v>
      </c>
      <c r="U442" s="2">
        <f t="shared" si="84"/>
        <v>1</v>
      </c>
      <c r="V442" s="1">
        <v>0</v>
      </c>
      <c r="W442" s="2">
        <f t="shared" si="83"/>
        <v>1</v>
      </c>
      <c r="X442" s="8">
        <f t="shared" si="85"/>
        <v>0</v>
      </c>
    </row>
    <row r="443" spans="1:24" ht="15" customHeight="1">
      <c r="A443" s="9">
        <v>46054</v>
      </c>
      <c r="B443" s="2" t="s">
        <v>45</v>
      </c>
      <c r="C443" s="2" t="s">
        <v>922</v>
      </c>
      <c r="D443" s="2" t="s">
        <v>979</v>
      </c>
      <c r="E443" s="2" t="s">
        <v>475</v>
      </c>
      <c r="F443" s="2" t="s">
        <v>980</v>
      </c>
      <c r="G443" s="2" t="s">
        <v>981</v>
      </c>
      <c r="H443" s="2" t="s">
        <v>24</v>
      </c>
      <c r="I443" s="6">
        <v>29.84</v>
      </c>
      <c r="J443" s="6">
        <v>55388</v>
      </c>
      <c r="K443" s="6">
        <v>386049</v>
      </c>
      <c r="L443" s="6">
        <v>443241</v>
      </c>
      <c r="M443" s="6">
        <v>0</v>
      </c>
      <c r="N443" s="6">
        <v>1804</v>
      </c>
      <c r="O443" s="6">
        <v>0</v>
      </c>
      <c r="P443" s="2" t="s">
        <v>25</v>
      </c>
      <c r="Q443" s="2" t="s">
        <v>32</v>
      </c>
      <c r="R443" s="2" t="s">
        <v>27</v>
      </c>
      <c r="S443" s="5">
        <v>1</v>
      </c>
      <c r="T443" s="1">
        <v>0</v>
      </c>
      <c r="U443" s="2">
        <f t="shared" si="84"/>
        <v>1</v>
      </c>
      <c r="V443" s="1">
        <v>0</v>
      </c>
      <c r="W443" s="2">
        <f t="shared" si="83"/>
        <v>1</v>
      </c>
      <c r="X443" s="8">
        <f t="shared" si="85"/>
        <v>100</v>
      </c>
    </row>
    <row r="444" spans="1:24" ht="15" customHeight="1">
      <c r="A444" s="9">
        <v>46054</v>
      </c>
      <c r="B444" s="2" t="s">
        <v>45</v>
      </c>
      <c r="C444" s="2" t="s">
        <v>922</v>
      </c>
      <c r="D444" s="2" t="s">
        <v>982</v>
      </c>
      <c r="E444" s="2" t="s">
        <v>475</v>
      </c>
      <c r="F444" s="2" t="s">
        <v>983</v>
      </c>
      <c r="G444" s="2" t="s">
        <v>974</v>
      </c>
      <c r="H444" s="2" t="s">
        <v>24</v>
      </c>
      <c r="I444" s="6">
        <v>52</v>
      </c>
      <c r="J444" s="6">
        <v>5761</v>
      </c>
      <c r="K444" s="6">
        <v>2929</v>
      </c>
      <c r="L444" s="6">
        <v>8690</v>
      </c>
      <c r="M444" s="6">
        <v>0</v>
      </c>
      <c r="N444" s="6">
        <v>0</v>
      </c>
      <c r="O444" s="6">
        <v>0</v>
      </c>
      <c r="P444" s="2" t="s">
        <v>25</v>
      </c>
      <c r="Q444" s="2" t="s">
        <v>32</v>
      </c>
      <c r="R444" s="2" t="s">
        <v>27</v>
      </c>
      <c r="S444" s="5">
        <v>1</v>
      </c>
      <c r="T444" s="1">
        <v>0</v>
      </c>
      <c r="U444" s="2">
        <f t="shared" si="84"/>
        <v>1</v>
      </c>
      <c r="V444" s="1">
        <v>0</v>
      </c>
      <c r="W444" s="2">
        <f t="shared" si="83"/>
        <v>1</v>
      </c>
      <c r="X444" s="8">
        <f t="shared" si="85"/>
        <v>100</v>
      </c>
    </row>
    <row r="445" spans="1:24" ht="15" customHeight="1">
      <c r="A445" s="9">
        <v>46054</v>
      </c>
      <c r="B445" s="2" t="s">
        <v>45</v>
      </c>
      <c r="C445" s="2" t="s">
        <v>922</v>
      </c>
      <c r="D445" s="2" t="s">
        <v>984</v>
      </c>
      <c r="E445" s="2" t="s">
        <v>60</v>
      </c>
      <c r="F445" s="2" t="s">
        <v>985</v>
      </c>
      <c r="G445" s="2" t="s">
        <v>986</v>
      </c>
      <c r="H445" s="2" t="s">
        <v>24</v>
      </c>
      <c r="I445" s="6">
        <v>29.84</v>
      </c>
      <c r="J445" s="6">
        <v>50</v>
      </c>
      <c r="K445" s="6">
        <v>457282</v>
      </c>
      <c r="L445" s="6">
        <v>1230</v>
      </c>
      <c r="M445" s="6">
        <v>0</v>
      </c>
      <c r="N445" s="6">
        <v>19111</v>
      </c>
      <c r="O445" s="6">
        <v>475213</v>
      </c>
      <c r="P445" s="2" t="s">
        <v>25</v>
      </c>
      <c r="Q445" s="2" t="s">
        <v>32</v>
      </c>
      <c r="R445" s="2" t="s">
        <v>50</v>
      </c>
      <c r="S445" s="5">
        <v>0</v>
      </c>
      <c r="T445" s="1">
        <v>1</v>
      </c>
      <c r="U445" s="2">
        <f t="shared" si="84"/>
        <v>1</v>
      </c>
      <c r="V445" s="1">
        <v>0</v>
      </c>
      <c r="W445" s="2">
        <f t="shared" si="83"/>
        <v>1</v>
      </c>
      <c r="X445" s="8">
        <f t="shared" si="85"/>
        <v>0</v>
      </c>
    </row>
    <row r="446" spans="1:24" ht="15" customHeight="1">
      <c r="A446" s="9">
        <v>46054</v>
      </c>
      <c r="B446" s="2" t="s">
        <v>45</v>
      </c>
      <c r="C446" s="2" t="s">
        <v>922</v>
      </c>
      <c r="D446" s="2" t="s">
        <v>987</v>
      </c>
      <c r="E446" s="2" t="s">
        <v>60</v>
      </c>
      <c r="F446" s="2" t="s">
        <v>988</v>
      </c>
      <c r="G446" s="2" t="s">
        <v>490</v>
      </c>
      <c r="H446" s="2" t="s">
        <v>24</v>
      </c>
      <c r="I446" s="6">
        <v>52.22</v>
      </c>
      <c r="J446" s="6">
        <v>4614290</v>
      </c>
      <c r="K446" s="6">
        <v>1180</v>
      </c>
      <c r="L446" s="6">
        <v>0</v>
      </c>
      <c r="M446" s="6">
        <v>0</v>
      </c>
      <c r="N446" s="6">
        <v>150</v>
      </c>
      <c r="O446" s="6">
        <v>4615620</v>
      </c>
      <c r="P446" s="2" t="s">
        <v>25</v>
      </c>
      <c r="Q446" s="2" t="s">
        <v>32</v>
      </c>
      <c r="R446" s="2" t="s">
        <v>50</v>
      </c>
      <c r="S446" s="5">
        <v>0</v>
      </c>
      <c r="T446" s="1">
        <v>1</v>
      </c>
      <c r="U446" s="2">
        <f t="shared" si="84"/>
        <v>1</v>
      </c>
      <c r="V446" s="1">
        <v>0</v>
      </c>
      <c r="W446" s="2">
        <f t="shared" si="83"/>
        <v>1</v>
      </c>
      <c r="X446" s="8">
        <f t="shared" si="85"/>
        <v>0</v>
      </c>
    </row>
    <row r="447" spans="1:24" ht="15" customHeight="1">
      <c r="A447" s="9">
        <v>46054</v>
      </c>
      <c r="B447" s="2" t="s">
        <v>45</v>
      </c>
      <c r="C447" s="2" t="s">
        <v>922</v>
      </c>
      <c r="D447" s="2" t="s">
        <v>989</v>
      </c>
      <c r="E447" s="2" t="s">
        <v>475</v>
      </c>
      <c r="F447" s="2" t="s">
        <v>990</v>
      </c>
      <c r="G447" s="2" t="s">
        <v>991</v>
      </c>
      <c r="H447" s="2" t="s">
        <v>24</v>
      </c>
      <c r="I447" s="6">
        <v>29.84</v>
      </c>
      <c r="J447" s="6">
        <v>13496</v>
      </c>
      <c r="K447" s="6">
        <v>177101</v>
      </c>
      <c r="L447" s="6">
        <v>190597</v>
      </c>
      <c r="M447" s="6">
        <v>0</v>
      </c>
      <c r="N447" s="6">
        <v>0</v>
      </c>
      <c r="O447" s="6">
        <v>0</v>
      </c>
      <c r="P447" s="2" t="s">
        <v>25</v>
      </c>
      <c r="Q447" s="2" t="s">
        <v>32</v>
      </c>
      <c r="R447" s="2" t="s">
        <v>66</v>
      </c>
      <c r="S447" s="5">
        <v>0</v>
      </c>
      <c r="T447" s="1">
        <v>1</v>
      </c>
      <c r="U447" s="2">
        <f t="shared" si="84"/>
        <v>1</v>
      </c>
      <c r="V447" s="1">
        <v>0</v>
      </c>
      <c r="W447" s="2">
        <f t="shared" si="83"/>
        <v>1</v>
      </c>
      <c r="X447" s="8">
        <f t="shared" si="85"/>
        <v>0</v>
      </c>
    </row>
    <row r="448" spans="1:24">
      <c r="A448" s="9">
        <v>46054</v>
      </c>
      <c r="B448" s="2" t="s">
        <v>45</v>
      </c>
      <c r="C448" s="2" t="s">
        <v>922</v>
      </c>
      <c r="D448" s="2" t="s">
        <v>992</v>
      </c>
      <c r="E448" s="2" t="s">
        <v>475</v>
      </c>
      <c r="F448" s="2" t="s">
        <v>993</v>
      </c>
      <c r="G448" s="2" t="s">
        <v>974</v>
      </c>
      <c r="H448" s="2" t="s">
        <v>24</v>
      </c>
      <c r="I448" s="6">
        <v>29.84</v>
      </c>
      <c r="J448" s="6">
        <v>50</v>
      </c>
      <c r="K448" s="6">
        <v>1180</v>
      </c>
      <c r="L448" s="6">
        <v>1230</v>
      </c>
      <c r="M448" s="6">
        <v>0</v>
      </c>
      <c r="N448" s="6">
        <v>50</v>
      </c>
      <c r="O448" s="6">
        <v>50</v>
      </c>
      <c r="P448" s="2" t="s">
        <v>25</v>
      </c>
      <c r="Q448" s="2" t="s">
        <v>32</v>
      </c>
      <c r="R448" s="2" t="s">
        <v>27</v>
      </c>
      <c r="S448" s="5">
        <v>1</v>
      </c>
      <c r="T448" s="1">
        <v>0</v>
      </c>
      <c r="U448" s="2">
        <f t="shared" si="84"/>
        <v>1</v>
      </c>
      <c r="V448" s="1">
        <v>0</v>
      </c>
      <c r="W448" s="2">
        <f t="shared" si="83"/>
        <v>1</v>
      </c>
      <c r="X448" s="8">
        <f t="shared" si="85"/>
        <v>100</v>
      </c>
    </row>
    <row r="449" spans="1:24">
      <c r="A449" s="9">
        <v>46054</v>
      </c>
      <c r="B449" s="2" t="s">
        <v>95</v>
      </c>
      <c r="C449" s="2" t="s">
        <v>922</v>
      </c>
      <c r="D449" s="2" t="s">
        <v>994</v>
      </c>
      <c r="E449" s="2" t="s">
        <v>475</v>
      </c>
      <c r="F449" s="2" t="s">
        <v>928</v>
      </c>
      <c r="G449" s="2" t="s">
        <v>995</v>
      </c>
      <c r="H449" s="2" t="s">
        <v>24</v>
      </c>
      <c r="I449" s="6">
        <v>14.92</v>
      </c>
      <c r="J449" s="6">
        <v>-4538</v>
      </c>
      <c r="K449" s="6">
        <v>3263</v>
      </c>
      <c r="L449" s="6">
        <v>0</v>
      </c>
      <c r="M449" s="6">
        <v>0</v>
      </c>
      <c r="N449" s="6">
        <v>0</v>
      </c>
      <c r="O449" s="6">
        <v>-1275</v>
      </c>
      <c r="P449" s="2" t="s">
        <v>25</v>
      </c>
      <c r="Q449" s="2" t="s">
        <v>32</v>
      </c>
      <c r="R449" s="2" t="s">
        <v>27</v>
      </c>
      <c r="S449" s="5">
        <v>0</v>
      </c>
      <c r="T449" s="1">
        <v>1</v>
      </c>
      <c r="U449" s="2">
        <f t="shared" si="84"/>
        <v>1</v>
      </c>
      <c r="V449" s="1">
        <v>0</v>
      </c>
      <c r="W449" s="2">
        <f t="shared" si="83"/>
        <v>1</v>
      </c>
      <c r="X449" s="8">
        <f t="shared" si="85"/>
        <v>0</v>
      </c>
    </row>
    <row r="450" spans="1:24">
      <c r="A450" s="9">
        <v>46054</v>
      </c>
      <c r="B450" s="2" t="s">
        <v>95</v>
      </c>
      <c r="C450" s="2" t="s">
        <v>922</v>
      </c>
      <c r="D450" s="2" t="s">
        <v>996</v>
      </c>
      <c r="E450" s="2" t="s">
        <v>475</v>
      </c>
      <c r="F450" s="2" t="s">
        <v>997</v>
      </c>
      <c r="G450" s="2" t="s">
        <v>998</v>
      </c>
      <c r="H450" s="2" t="s">
        <v>24</v>
      </c>
      <c r="I450" s="6">
        <v>22.38</v>
      </c>
      <c r="J450" s="6">
        <v>50</v>
      </c>
      <c r="K450" s="6">
        <v>1180</v>
      </c>
      <c r="L450" s="6">
        <v>1230</v>
      </c>
      <c r="M450" s="6">
        <v>0</v>
      </c>
      <c r="N450" s="6">
        <v>50</v>
      </c>
      <c r="O450" s="6">
        <v>50</v>
      </c>
      <c r="P450" s="2" t="s">
        <v>25</v>
      </c>
      <c r="Q450" s="2" t="s">
        <v>32</v>
      </c>
      <c r="R450" s="2" t="s">
        <v>27</v>
      </c>
      <c r="S450" s="5">
        <v>0</v>
      </c>
      <c r="T450" s="1">
        <v>1</v>
      </c>
      <c r="U450" s="2">
        <f t="shared" si="84"/>
        <v>1</v>
      </c>
      <c r="V450" s="1">
        <v>0</v>
      </c>
      <c r="W450" s="2">
        <f t="shared" si="83"/>
        <v>1</v>
      </c>
      <c r="X450" s="8">
        <f t="shared" si="85"/>
        <v>0</v>
      </c>
    </row>
    <row r="451" spans="1:24">
      <c r="A451" s="9">
        <v>46054</v>
      </c>
      <c r="B451" s="2" t="s">
        <v>95</v>
      </c>
      <c r="C451" s="2" t="s">
        <v>922</v>
      </c>
      <c r="D451" s="2" t="s">
        <v>999</v>
      </c>
      <c r="E451" s="2" t="s">
        <v>935</v>
      </c>
      <c r="F451" s="2" t="s">
        <v>1000</v>
      </c>
      <c r="G451" s="2" t="s">
        <v>1001</v>
      </c>
      <c r="H451" s="2" t="s">
        <v>24</v>
      </c>
      <c r="I451" s="6">
        <v>22.8</v>
      </c>
      <c r="J451" s="6">
        <v>655422</v>
      </c>
      <c r="K451" s="6">
        <v>1180</v>
      </c>
      <c r="L451" s="6">
        <v>0</v>
      </c>
      <c r="M451" s="6">
        <v>0</v>
      </c>
      <c r="N451" s="6">
        <v>50</v>
      </c>
      <c r="O451" s="6">
        <v>656652</v>
      </c>
      <c r="P451" s="2" t="s">
        <v>31</v>
      </c>
      <c r="Q451" s="2" t="s">
        <v>32</v>
      </c>
      <c r="R451" s="2" t="s">
        <v>27</v>
      </c>
      <c r="S451" s="5">
        <v>0</v>
      </c>
      <c r="T451" s="1">
        <v>1</v>
      </c>
      <c r="U451" s="2">
        <f t="shared" si="84"/>
        <v>1</v>
      </c>
      <c r="V451" s="1">
        <v>0</v>
      </c>
      <c r="W451" s="2">
        <f t="shared" si="83"/>
        <v>1</v>
      </c>
      <c r="X451" s="8">
        <f t="shared" si="85"/>
        <v>0</v>
      </c>
    </row>
    <row r="452" spans="1:24">
      <c r="A452" s="9">
        <v>46054</v>
      </c>
      <c r="B452" s="2" t="s">
        <v>95</v>
      </c>
      <c r="C452" s="2" t="s">
        <v>922</v>
      </c>
      <c r="D452" s="2" t="s">
        <v>1002</v>
      </c>
      <c r="E452" s="2" t="s">
        <v>475</v>
      </c>
      <c r="F452" s="2" t="s">
        <v>1003</v>
      </c>
      <c r="G452" s="2" t="s">
        <v>1004</v>
      </c>
      <c r="H452" s="2" t="s">
        <v>24</v>
      </c>
      <c r="I452" s="6">
        <v>22.38</v>
      </c>
      <c r="J452" s="6">
        <v>50</v>
      </c>
      <c r="K452" s="6">
        <v>1180</v>
      </c>
      <c r="L452" s="6">
        <v>1230</v>
      </c>
      <c r="M452" s="6">
        <v>0</v>
      </c>
      <c r="N452" s="6">
        <v>50</v>
      </c>
      <c r="O452" s="6">
        <v>50</v>
      </c>
      <c r="P452" s="2" t="s">
        <v>25</v>
      </c>
      <c r="Q452" s="2" t="s">
        <v>32</v>
      </c>
      <c r="R452" s="2" t="s">
        <v>27</v>
      </c>
      <c r="S452" s="5">
        <v>0</v>
      </c>
      <c r="T452" s="1">
        <v>1</v>
      </c>
      <c r="U452" s="2">
        <f t="shared" si="84"/>
        <v>1</v>
      </c>
      <c r="V452" s="1">
        <v>0</v>
      </c>
      <c r="W452" s="2">
        <f t="shared" si="83"/>
        <v>1</v>
      </c>
      <c r="X452" s="8">
        <f t="shared" si="85"/>
        <v>0</v>
      </c>
    </row>
    <row r="453" spans="1:24">
      <c r="A453" s="9">
        <v>46054</v>
      </c>
      <c r="B453" s="2" t="s">
        <v>95</v>
      </c>
      <c r="C453" s="2" t="s">
        <v>922</v>
      </c>
      <c r="D453" s="2" t="s">
        <v>1005</v>
      </c>
      <c r="E453" s="2" t="s">
        <v>475</v>
      </c>
      <c r="F453" s="2" t="s">
        <v>1006</v>
      </c>
      <c r="G453" s="2" t="s">
        <v>846</v>
      </c>
      <c r="H453" s="2" t="s">
        <v>24</v>
      </c>
      <c r="I453" s="6">
        <v>22.38</v>
      </c>
      <c r="J453" s="6">
        <v>6045</v>
      </c>
      <c r="K453" s="6">
        <v>241956</v>
      </c>
      <c r="L453" s="6">
        <v>248001</v>
      </c>
      <c r="M453" s="6">
        <v>0</v>
      </c>
      <c r="N453" s="6">
        <v>10112</v>
      </c>
      <c r="O453" s="6">
        <v>10112</v>
      </c>
      <c r="P453" s="2" t="s">
        <v>25</v>
      </c>
      <c r="Q453" s="2" t="s">
        <v>32</v>
      </c>
      <c r="R453" s="2" t="s">
        <v>27</v>
      </c>
      <c r="S453" s="5">
        <v>0</v>
      </c>
      <c r="T453" s="1">
        <v>1</v>
      </c>
      <c r="U453" s="2">
        <f t="shared" si="84"/>
        <v>1</v>
      </c>
      <c r="V453" s="1">
        <v>0</v>
      </c>
      <c r="W453" s="2">
        <f t="shared" si="83"/>
        <v>1</v>
      </c>
      <c r="X453" s="8">
        <f t="shared" si="85"/>
        <v>0</v>
      </c>
    </row>
    <row r="454" spans="1:24" ht="15" customHeight="1">
      <c r="A454" s="9">
        <v>46054</v>
      </c>
      <c r="B454" s="2" t="s">
        <v>95</v>
      </c>
      <c r="C454" s="2" t="s">
        <v>922</v>
      </c>
      <c r="D454" s="2" t="s">
        <v>1007</v>
      </c>
      <c r="E454" s="2" t="s">
        <v>475</v>
      </c>
      <c r="F454" s="2" t="s">
        <v>1008</v>
      </c>
      <c r="G454" s="2" t="s">
        <v>1009</v>
      </c>
      <c r="H454" s="2" t="s">
        <v>24</v>
      </c>
      <c r="I454" s="6">
        <v>20.84</v>
      </c>
      <c r="J454" s="6">
        <v>11385</v>
      </c>
      <c r="K454" s="6">
        <v>245093</v>
      </c>
      <c r="L454" s="6">
        <v>256478</v>
      </c>
      <c r="M454" s="6">
        <v>0</v>
      </c>
      <c r="N454" s="6">
        <v>10165</v>
      </c>
      <c r="O454" s="6">
        <v>10165</v>
      </c>
      <c r="P454" s="2" t="s">
        <v>25</v>
      </c>
      <c r="Q454" s="2" t="s">
        <v>32</v>
      </c>
      <c r="R454" s="2" t="s">
        <v>27</v>
      </c>
      <c r="S454" s="5">
        <v>1</v>
      </c>
      <c r="T454" s="1">
        <v>0</v>
      </c>
      <c r="U454" s="2">
        <f>T454+S454</f>
        <v>1</v>
      </c>
      <c r="V454" s="1">
        <v>0</v>
      </c>
      <c r="W454" s="2">
        <f>V454+U454</f>
        <v>1</v>
      </c>
      <c r="X454" s="8">
        <f t="shared" si="85"/>
        <v>100</v>
      </c>
    </row>
    <row r="455" spans="1:24">
      <c r="A455" s="9">
        <v>46054</v>
      </c>
      <c r="B455" s="2" t="s">
        <v>95</v>
      </c>
      <c r="C455" s="2" t="s">
        <v>922</v>
      </c>
      <c r="D455" s="2" t="s">
        <v>1010</v>
      </c>
      <c r="E455" s="2" t="s">
        <v>475</v>
      </c>
      <c r="F455" s="2" t="s">
        <v>1011</v>
      </c>
      <c r="G455" s="2" t="s">
        <v>944</v>
      </c>
      <c r="H455" s="2" t="s">
        <v>24</v>
      </c>
      <c r="I455" s="6">
        <v>22</v>
      </c>
      <c r="J455" s="6">
        <v>17048</v>
      </c>
      <c r="K455" s="6">
        <v>554782</v>
      </c>
      <c r="L455" s="6">
        <v>571830</v>
      </c>
      <c r="M455" s="6">
        <v>0</v>
      </c>
      <c r="N455" s="6">
        <v>23185</v>
      </c>
      <c r="O455" s="6">
        <v>23185</v>
      </c>
      <c r="P455" s="2" t="s">
        <v>25</v>
      </c>
      <c r="Q455" s="2" t="s">
        <v>32</v>
      </c>
      <c r="R455" s="2" t="s">
        <v>27</v>
      </c>
      <c r="S455" s="5">
        <v>1</v>
      </c>
      <c r="T455" s="1">
        <v>0</v>
      </c>
      <c r="U455" s="2">
        <f t="shared" ref="U455:U460" si="86">T455+S455</f>
        <v>1</v>
      </c>
      <c r="V455" s="1">
        <v>0</v>
      </c>
      <c r="W455" s="2">
        <f t="shared" ref="W455:W463" si="87">V455+U455</f>
        <v>1</v>
      </c>
      <c r="X455" s="8">
        <f t="shared" ref="X455:X463" si="88">100/U455*S455</f>
        <v>100</v>
      </c>
    </row>
    <row r="456" spans="1:24">
      <c r="A456" s="9">
        <v>46054</v>
      </c>
      <c r="B456" s="2" t="s">
        <v>95</v>
      </c>
      <c r="C456" s="2" t="s">
        <v>922</v>
      </c>
      <c r="D456" s="2" t="s">
        <v>1012</v>
      </c>
      <c r="E456" s="2" t="s">
        <v>475</v>
      </c>
      <c r="F456" s="2" t="s">
        <v>1013</v>
      </c>
      <c r="G456" s="2" t="s">
        <v>184</v>
      </c>
      <c r="H456" s="2" t="s">
        <v>24</v>
      </c>
      <c r="I456" s="6">
        <v>22.38</v>
      </c>
      <c r="J456" s="6">
        <v>4647</v>
      </c>
      <c r="K456" s="6">
        <v>1345</v>
      </c>
      <c r="L456" s="6">
        <v>5992</v>
      </c>
      <c r="M456" s="6">
        <v>0</v>
      </c>
      <c r="N456" s="6">
        <v>57</v>
      </c>
      <c r="O456" s="6">
        <v>57</v>
      </c>
      <c r="P456" s="2" t="s">
        <v>25</v>
      </c>
      <c r="Q456" s="2" t="s">
        <v>32</v>
      </c>
      <c r="R456" s="2" t="s">
        <v>27</v>
      </c>
      <c r="S456" s="5">
        <v>1</v>
      </c>
      <c r="T456" s="1">
        <v>0</v>
      </c>
      <c r="U456" s="2">
        <f t="shared" si="86"/>
        <v>1</v>
      </c>
      <c r="V456" s="1">
        <v>0</v>
      </c>
      <c r="W456" s="2">
        <f t="shared" si="87"/>
        <v>1</v>
      </c>
      <c r="X456" s="8">
        <f t="shared" si="88"/>
        <v>100</v>
      </c>
    </row>
    <row r="457" spans="1:24">
      <c r="A457" s="9">
        <v>46054</v>
      </c>
      <c r="B457" s="2" t="s">
        <v>95</v>
      </c>
      <c r="C457" s="2" t="s">
        <v>922</v>
      </c>
      <c r="D457" s="2" t="s">
        <v>1014</v>
      </c>
      <c r="E457" s="2" t="s">
        <v>475</v>
      </c>
      <c r="F457" s="2" t="s">
        <v>1015</v>
      </c>
      <c r="G457" s="2" t="s">
        <v>970</v>
      </c>
      <c r="H457" s="2" t="s">
        <v>24</v>
      </c>
      <c r="I457" s="6">
        <v>22.38</v>
      </c>
      <c r="J457" s="6">
        <v>7338</v>
      </c>
      <c r="K457" s="6">
        <v>82192</v>
      </c>
      <c r="L457" s="6">
        <v>89530</v>
      </c>
      <c r="M457" s="6">
        <v>0</v>
      </c>
      <c r="N457" s="6">
        <v>3404</v>
      </c>
      <c r="O457" s="6">
        <v>3404</v>
      </c>
      <c r="P457" s="2" t="s">
        <v>25</v>
      </c>
      <c r="Q457" s="2" t="s">
        <v>32</v>
      </c>
      <c r="R457" s="2" t="s">
        <v>27</v>
      </c>
      <c r="S457" s="5">
        <v>1</v>
      </c>
      <c r="T457" s="1">
        <v>0</v>
      </c>
      <c r="U457" s="2">
        <f>T457+S457</f>
        <v>1</v>
      </c>
      <c r="V457" s="1">
        <v>0</v>
      </c>
      <c r="W457" s="2">
        <f t="shared" si="87"/>
        <v>1</v>
      </c>
      <c r="X457" s="8">
        <f t="shared" si="88"/>
        <v>100</v>
      </c>
    </row>
    <row r="458" spans="1:24">
      <c r="A458" s="9">
        <v>46054</v>
      </c>
      <c r="B458" s="2" t="s">
        <v>95</v>
      </c>
      <c r="C458" s="2" t="s">
        <v>922</v>
      </c>
      <c r="D458" s="2" t="s">
        <v>1016</v>
      </c>
      <c r="E458" s="2" t="s">
        <v>475</v>
      </c>
      <c r="F458" s="2" t="s">
        <v>1017</v>
      </c>
      <c r="G458" s="2" t="s">
        <v>65</v>
      </c>
      <c r="H458" s="2" t="s">
        <v>24</v>
      </c>
      <c r="I458" s="6">
        <v>21</v>
      </c>
      <c r="J458" s="6">
        <v>10952</v>
      </c>
      <c r="K458" s="6">
        <v>196210</v>
      </c>
      <c r="L458" s="6">
        <v>207162</v>
      </c>
      <c r="M458" s="6">
        <v>0</v>
      </c>
      <c r="N458" s="6">
        <v>8107</v>
      </c>
      <c r="O458" s="6">
        <v>8107</v>
      </c>
      <c r="P458" s="2" t="s">
        <v>25</v>
      </c>
      <c r="Q458" s="2" t="s">
        <v>32</v>
      </c>
      <c r="R458" s="2" t="s">
        <v>27</v>
      </c>
      <c r="S458" s="5">
        <v>1</v>
      </c>
      <c r="T458" s="1">
        <v>0</v>
      </c>
      <c r="U458" s="2">
        <f t="shared" si="86"/>
        <v>1</v>
      </c>
      <c r="V458" s="1">
        <v>0</v>
      </c>
      <c r="W458" s="2">
        <f t="shared" si="87"/>
        <v>1</v>
      </c>
      <c r="X458" s="8">
        <f t="shared" si="88"/>
        <v>100</v>
      </c>
    </row>
    <row r="459" spans="1:24">
      <c r="A459" s="9">
        <v>46054</v>
      </c>
      <c r="B459" s="2" t="s">
        <v>95</v>
      </c>
      <c r="C459" s="2" t="s">
        <v>922</v>
      </c>
      <c r="D459" s="2" t="s">
        <v>1018</v>
      </c>
      <c r="E459" s="2" t="s">
        <v>475</v>
      </c>
      <c r="F459" s="2" t="s">
        <v>1019</v>
      </c>
      <c r="G459" s="2" t="s">
        <v>65</v>
      </c>
      <c r="H459" s="2" t="s">
        <v>24</v>
      </c>
      <c r="I459" s="6">
        <v>22.38</v>
      </c>
      <c r="J459" s="6">
        <v>8945</v>
      </c>
      <c r="K459" s="6">
        <v>129472</v>
      </c>
      <c r="L459" s="6">
        <v>138417</v>
      </c>
      <c r="M459" s="6">
        <v>0</v>
      </c>
      <c r="N459" s="6">
        <v>5412</v>
      </c>
      <c r="O459" s="6">
        <v>5412</v>
      </c>
      <c r="P459" s="2" t="s">
        <v>25</v>
      </c>
      <c r="Q459" s="2" t="s">
        <v>32</v>
      </c>
      <c r="R459" s="2" t="s">
        <v>27</v>
      </c>
      <c r="S459" s="5">
        <v>1</v>
      </c>
      <c r="T459" s="1">
        <v>0</v>
      </c>
      <c r="U459" s="2">
        <f t="shared" si="86"/>
        <v>1</v>
      </c>
      <c r="V459" s="1">
        <v>0</v>
      </c>
      <c r="W459" s="2">
        <f t="shared" si="87"/>
        <v>1</v>
      </c>
      <c r="X459" s="8">
        <f t="shared" si="88"/>
        <v>100</v>
      </c>
    </row>
    <row r="460" spans="1:24">
      <c r="A460" s="9">
        <v>46054</v>
      </c>
      <c r="B460" s="2" t="s">
        <v>95</v>
      </c>
      <c r="C460" s="2" t="s">
        <v>922</v>
      </c>
      <c r="D460" s="2" t="s">
        <v>1020</v>
      </c>
      <c r="E460" s="2" t="s">
        <v>475</v>
      </c>
      <c r="F460" s="2" t="s">
        <v>1021</v>
      </c>
      <c r="G460" s="2" t="s">
        <v>970</v>
      </c>
      <c r="H460" s="2" t="s">
        <v>24</v>
      </c>
      <c r="I460" s="6">
        <v>18.649999999999999</v>
      </c>
      <c r="J460" s="6">
        <v>393</v>
      </c>
      <c r="K460" s="6">
        <v>32028</v>
      </c>
      <c r="L460" s="6">
        <v>32421</v>
      </c>
      <c r="M460" s="6">
        <v>0</v>
      </c>
      <c r="N460" s="6">
        <v>1339</v>
      </c>
      <c r="O460" s="6">
        <v>1339</v>
      </c>
      <c r="P460" s="2" t="s">
        <v>25</v>
      </c>
      <c r="Q460" s="2" t="s">
        <v>32</v>
      </c>
      <c r="R460" s="2" t="s">
        <v>27</v>
      </c>
      <c r="S460" s="5">
        <v>1</v>
      </c>
      <c r="T460" s="1">
        <v>0</v>
      </c>
      <c r="U460" s="2">
        <f t="shared" si="86"/>
        <v>1</v>
      </c>
      <c r="V460" s="1">
        <v>0</v>
      </c>
      <c r="W460" s="2">
        <f t="shared" si="87"/>
        <v>1</v>
      </c>
      <c r="X460" s="8">
        <f t="shared" si="88"/>
        <v>100</v>
      </c>
    </row>
    <row r="461" spans="1:24" ht="15" customHeight="1">
      <c r="A461" s="9">
        <v>46054</v>
      </c>
      <c r="B461" s="2" t="s">
        <v>95</v>
      </c>
      <c r="C461" s="2" t="s">
        <v>922</v>
      </c>
      <c r="D461" s="2" t="s">
        <v>1022</v>
      </c>
      <c r="E461" s="2" t="s">
        <v>306</v>
      </c>
      <c r="F461" s="2" t="s">
        <v>1023</v>
      </c>
      <c r="G461" s="2"/>
      <c r="H461" s="2" t="s">
        <v>24</v>
      </c>
      <c r="I461" s="6">
        <v>5.84</v>
      </c>
      <c r="J461" s="6">
        <v>970</v>
      </c>
      <c r="K461" s="6">
        <v>69595</v>
      </c>
      <c r="L461" s="6">
        <v>70550</v>
      </c>
      <c r="M461" s="6">
        <v>0</v>
      </c>
      <c r="N461" s="6">
        <v>2909</v>
      </c>
      <c r="O461" s="6">
        <v>2924</v>
      </c>
      <c r="P461" s="2" t="s">
        <v>25</v>
      </c>
      <c r="Q461" s="2" t="s">
        <v>32</v>
      </c>
      <c r="R461" s="2" t="s">
        <v>27</v>
      </c>
      <c r="S461" s="5">
        <v>1</v>
      </c>
      <c r="T461" s="1">
        <v>0</v>
      </c>
      <c r="U461" s="2">
        <f>T461+S461</f>
        <v>1</v>
      </c>
      <c r="V461" s="1">
        <v>0</v>
      </c>
      <c r="W461" s="2">
        <f t="shared" si="87"/>
        <v>1</v>
      </c>
      <c r="X461" s="8">
        <f t="shared" si="88"/>
        <v>100</v>
      </c>
    </row>
    <row r="462" spans="1:24">
      <c r="A462" s="9">
        <v>46054</v>
      </c>
      <c r="B462" s="2" t="s">
        <v>95</v>
      </c>
      <c r="C462" s="2" t="s">
        <v>922</v>
      </c>
      <c r="D462" s="2" t="s">
        <v>1024</v>
      </c>
      <c r="E462" s="2" t="s">
        <v>475</v>
      </c>
      <c r="F462" s="2" t="s">
        <v>1025</v>
      </c>
      <c r="G462" s="2" t="s">
        <v>1026</v>
      </c>
      <c r="H462" s="2" t="s">
        <v>24</v>
      </c>
      <c r="I462" s="6">
        <v>22.38</v>
      </c>
      <c r="J462" s="6">
        <v>605981.42000000004</v>
      </c>
      <c r="K462" s="6">
        <v>1179.58</v>
      </c>
      <c r="L462" s="6">
        <v>607161</v>
      </c>
      <c r="M462" s="6">
        <v>0</v>
      </c>
      <c r="N462" s="6">
        <v>50</v>
      </c>
      <c r="O462" s="6">
        <v>50</v>
      </c>
      <c r="P462" s="2" t="s">
        <v>25</v>
      </c>
      <c r="Q462" s="2" t="s">
        <v>32</v>
      </c>
      <c r="R462" s="2" t="s">
        <v>27</v>
      </c>
      <c r="S462" s="5">
        <v>0</v>
      </c>
      <c r="T462" s="1">
        <v>1</v>
      </c>
      <c r="U462" s="2">
        <f>T462+S462</f>
        <v>1</v>
      </c>
      <c r="V462" s="1">
        <v>0</v>
      </c>
      <c r="W462" s="2">
        <f>V462+U462</f>
        <v>1</v>
      </c>
      <c r="X462" s="8">
        <f t="shared" si="88"/>
        <v>0</v>
      </c>
    </row>
    <row r="463" spans="1:24">
      <c r="A463" s="9">
        <v>46054</v>
      </c>
      <c r="B463" s="2" t="s">
        <v>95</v>
      </c>
      <c r="C463" s="2" t="s">
        <v>922</v>
      </c>
      <c r="D463" s="2" t="s">
        <v>1027</v>
      </c>
      <c r="E463" s="2" t="s">
        <v>475</v>
      </c>
      <c r="F463" s="2" t="s">
        <v>1028</v>
      </c>
      <c r="G463" s="2" t="s">
        <v>1029</v>
      </c>
      <c r="H463" s="2" t="s">
        <v>24</v>
      </c>
      <c r="I463" s="6">
        <v>22.38</v>
      </c>
      <c r="J463" s="6">
        <v>50</v>
      </c>
      <c r="K463" s="6">
        <v>1180</v>
      </c>
      <c r="L463" s="6">
        <v>1230</v>
      </c>
      <c r="M463" s="6">
        <v>0</v>
      </c>
      <c r="N463" s="6">
        <v>50</v>
      </c>
      <c r="O463" s="6">
        <v>50</v>
      </c>
      <c r="P463" s="2" t="s">
        <v>25</v>
      </c>
      <c r="Q463" s="2" t="s">
        <v>32</v>
      </c>
      <c r="R463" s="2" t="s">
        <v>27</v>
      </c>
      <c r="S463" s="5">
        <v>1</v>
      </c>
      <c r="T463" s="1">
        <v>0</v>
      </c>
      <c r="U463" s="2">
        <f>T463+S463</f>
        <v>1</v>
      </c>
      <c r="V463" s="1">
        <v>0</v>
      </c>
      <c r="W463" s="2">
        <f t="shared" si="87"/>
        <v>1</v>
      </c>
      <c r="X463" s="8">
        <f t="shared" si="88"/>
        <v>100</v>
      </c>
    </row>
    <row r="464" spans="1:24" ht="15" customHeight="1">
      <c r="A464" s="9">
        <v>46054</v>
      </c>
      <c r="B464" s="2" t="s">
        <v>95</v>
      </c>
      <c r="C464" s="2" t="s">
        <v>922</v>
      </c>
      <c r="D464" s="2" t="s">
        <v>1030</v>
      </c>
      <c r="E464" s="2" t="s">
        <v>475</v>
      </c>
      <c r="F464" s="2" t="s">
        <v>1031</v>
      </c>
      <c r="G464" s="2" t="s">
        <v>978</v>
      </c>
      <c r="H464" s="2" t="s">
        <v>24</v>
      </c>
      <c r="I464" s="6">
        <v>22.38</v>
      </c>
      <c r="J464" s="6">
        <v>5561</v>
      </c>
      <c r="K464" s="6">
        <v>60193</v>
      </c>
      <c r="L464" s="6">
        <v>65754</v>
      </c>
      <c r="M464" s="6">
        <v>0</v>
      </c>
      <c r="N464" s="6">
        <v>2470</v>
      </c>
      <c r="O464" s="6">
        <v>2470</v>
      </c>
      <c r="P464" s="2" t="s">
        <v>25</v>
      </c>
      <c r="Q464" s="2" t="s">
        <v>32</v>
      </c>
      <c r="R464" s="2" t="s">
        <v>126</v>
      </c>
      <c r="S464" s="5">
        <v>1</v>
      </c>
      <c r="T464" s="1">
        <v>0</v>
      </c>
      <c r="U464" s="2">
        <f>T464+S464</f>
        <v>1</v>
      </c>
      <c r="V464" s="1">
        <v>0</v>
      </c>
      <c r="W464" s="2">
        <f>V464+U464</f>
        <v>1</v>
      </c>
      <c r="X464" s="8">
        <v>0</v>
      </c>
    </row>
    <row r="465" spans="1:24">
      <c r="A465" s="9">
        <v>46054</v>
      </c>
      <c r="B465" s="2" t="s">
        <v>95</v>
      </c>
      <c r="C465" s="2" t="s">
        <v>922</v>
      </c>
      <c r="D465" s="2" t="s">
        <v>1032</v>
      </c>
      <c r="E465" s="2" t="s">
        <v>475</v>
      </c>
      <c r="F465" s="2" t="s">
        <v>1021</v>
      </c>
      <c r="G465" s="2" t="s">
        <v>970</v>
      </c>
      <c r="H465" s="2" t="s">
        <v>24</v>
      </c>
      <c r="I465" s="6">
        <v>22.38</v>
      </c>
      <c r="J465" s="6">
        <v>17610</v>
      </c>
      <c r="K465" s="6">
        <v>227458</v>
      </c>
      <c r="L465" s="6">
        <v>245068</v>
      </c>
      <c r="M465" s="6">
        <v>0</v>
      </c>
      <c r="N465" s="6">
        <v>9470</v>
      </c>
      <c r="O465" s="6">
        <v>9470</v>
      </c>
      <c r="P465" s="2" t="s">
        <v>25</v>
      </c>
      <c r="Q465" s="2" t="s">
        <v>32</v>
      </c>
      <c r="R465" s="2" t="s">
        <v>27</v>
      </c>
      <c r="S465" s="5">
        <v>1</v>
      </c>
      <c r="T465" s="1">
        <v>0</v>
      </c>
      <c r="U465" s="2">
        <f t="shared" ref="U465" si="89">T465+S465</f>
        <v>1</v>
      </c>
      <c r="V465" s="1">
        <v>0</v>
      </c>
      <c r="W465" s="2">
        <f t="shared" ref="W465:W466" si="90">V465+U465</f>
        <v>1</v>
      </c>
      <c r="X465" s="8">
        <f t="shared" ref="X465:X466" si="91">100/U465*S465</f>
        <v>100</v>
      </c>
    </row>
    <row r="466" spans="1:24" ht="15" customHeight="1">
      <c r="A466" s="9">
        <v>46054</v>
      </c>
      <c r="B466" s="2" t="s">
        <v>95</v>
      </c>
      <c r="C466" s="2" t="s">
        <v>922</v>
      </c>
      <c r="D466" s="2" t="s">
        <v>1033</v>
      </c>
      <c r="E466" s="2" t="s">
        <v>1034</v>
      </c>
      <c r="F466" s="2" t="s">
        <v>911</v>
      </c>
      <c r="G466" s="2" t="s">
        <v>1035</v>
      </c>
      <c r="H466" s="2" t="s">
        <v>24</v>
      </c>
      <c r="I466" s="6">
        <v>22.8</v>
      </c>
      <c r="J466" s="6">
        <v>395715</v>
      </c>
      <c r="K466" s="6">
        <v>1180</v>
      </c>
      <c r="L466" s="6">
        <v>0</v>
      </c>
      <c r="M466" s="6">
        <v>0</v>
      </c>
      <c r="N466" s="6">
        <v>0</v>
      </c>
      <c r="O466" s="6">
        <v>396895</v>
      </c>
      <c r="P466" s="2" t="s">
        <v>31</v>
      </c>
      <c r="Q466" s="2" t="s">
        <v>32</v>
      </c>
      <c r="R466" s="2" t="s">
        <v>339</v>
      </c>
      <c r="S466" s="5">
        <v>0</v>
      </c>
      <c r="T466" s="1">
        <v>1</v>
      </c>
      <c r="U466" s="2">
        <f t="shared" ref="U466" si="92">T466+S466</f>
        <v>1</v>
      </c>
      <c r="V466" s="1">
        <v>0</v>
      </c>
      <c r="W466" s="2">
        <f t="shared" si="90"/>
        <v>1</v>
      </c>
      <c r="X466" s="8">
        <f t="shared" si="91"/>
        <v>0</v>
      </c>
    </row>
    <row r="467" spans="1:24" ht="15" customHeight="1">
      <c r="A467" s="9">
        <v>46054</v>
      </c>
      <c r="B467" s="2" t="s">
        <v>45</v>
      </c>
      <c r="C467" s="2" t="s">
        <v>1036</v>
      </c>
      <c r="D467" s="2" t="s">
        <v>1037</v>
      </c>
      <c r="E467" s="2" t="s">
        <v>475</v>
      </c>
      <c r="F467" s="2" t="s">
        <v>1038</v>
      </c>
      <c r="G467" s="2" t="s">
        <v>65</v>
      </c>
      <c r="H467" s="2" t="s">
        <v>24</v>
      </c>
      <c r="I467" s="6">
        <v>29.84</v>
      </c>
      <c r="J467" s="6">
        <v>14599</v>
      </c>
      <c r="K467" s="6">
        <v>242391</v>
      </c>
      <c r="L467" s="6">
        <v>256990</v>
      </c>
      <c r="M467" s="6">
        <v>0</v>
      </c>
      <c r="N467" s="6">
        <v>0</v>
      </c>
      <c r="O467" s="6">
        <v>0</v>
      </c>
      <c r="P467" s="2" t="s">
        <v>25</v>
      </c>
      <c r="Q467" s="2" t="s">
        <v>32</v>
      </c>
      <c r="R467" s="2" t="s">
        <v>27</v>
      </c>
      <c r="S467" s="5">
        <v>1</v>
      </c>
      <c r="T467" s="1">
        <v>0</v>
      </c>
      <c r="U467" s="2">
        <f>T467+S467</f>
        <v>1</v>
      </c>
      <c r="V467" s="1">
        <v>0</v>
      </c>
      <c r="W467" s="2">
        <f>V467+U467</f>
        <v>1</v>
      </c>
      <c r="X467" s="8">
        <v>0</v>
      </c>
    </row>
    <row r="468" spans="1:24" ht="15" customHeight="1">
      <c r="A468" s="9">
        <v>46054</v>
      </c>
      <c r="B468" s="2" t="s">
        <v>45</v>
      </c>
      <c r="C468" s="2" t="s">
        <v>1036</v>
      </c>
      <c r="D468" s="2" t="s">
        <v>1039</v>
      </c>
      <c r="E468" s="2" t="s">
        <v>475</v>
      </c>
      <c r="F468" s="2" t="s">
        <v>1040</v>
      </c>
      <c r="G468" s="2" t="s">
        <v>65</v>
      </c>
      <c r="H468" s="2" t="s">
        <v>24</v>
      </c>
      <c r="I468" s="6">
        <v>50</v>
      </c>
      <c r="J468" s="6">
        <v>50</v>
      </c>
      <c r="K468" s="6">
        <v>1180</v>
      </c>
      <c r="L468" s="6">
        <v>1230</v>
      </c>
      <c r="M468" s="6">
        <v>0</v>
      </c>
      <c r="N468" s="6">
        <v>50</v>
      </c>
      <c r="O468" s="6">
        <v>50</v>
      </c>
      <c r="P468" s="2" t="s">
        <v>25</v>
      </c>
      <c r="Q468" s="2" t="s">
        <v>32</v>
      </c>
      <c r="R468" s="2" t="s">
        <v>27</v>
      </c>
      <c r="S468" s="5">
        <v>1</v>
      </c>
      <c r="T468" s="1">
        <v>0</v>
      </c>
      <c r="U468" s="2">
        <f>T468+S468</f>
        <v>1</v>
      </c>
      <c r="V468" s="1">
        <v>0</v>
      </c>
      <c r="W468" s="2">
        <f t="shared" ref="W468:W493" si="93">V468+U468</f>
        <v>1</v>
      </c>
      <c r="X468" s="8">
        <f t="shared" ref="X468:X498" si="94">100/U468*S468</f>
        <v>100</v>
      </c>
    </row>
    <row r="469" spans="1:24" ht="15" customHeight="1">
      <c r="A469" s="9">
        <v>46054</v>
      </c>
      <c r="B469" s="2" t="s">
        <v>45</v>
      </c>
      <c r="C469" s="2" t="s">
        <v>1036</v>
      </c>
      <c r="D469" s="2" t="s">
        <v>1041</v>
      </c>
      <c r="E469" s="2" t="s">
        <v>475</v>
      </c>
      <c r="F469" s="2" t="s">
        <v>1042</v>
      </c>
      <c r="G469" s="2" t="s">
        <v>65</v>
      </c>
      <c r="H469" s="2" t="s">
        <v>24</v>
      </c>
      <c r="I469" s="6">
        <v>29.84</v>
      </c>
      <c r="J469" s="6">
        <v>-40</v>
      </c>
      <c r="K469" s="6">
        <v>1180</v>
      </c>
      <c r="L469" s="6">
        <v>1140</v>
      </c>
      <c r="M469" s="6">
        <v>0</v>
      </c>
      <c r="N469" s="6">
        <v>50</v>
      </c>
      <c r="O469" s="6">
        <v>50</v>
      </c>
      <c r="P469" s="2" t="s">
        <v>25</v>
      </c>
      <c r="Q469" s="2" t="s">
        <v>32</v>
      </c>
      <c r="R469" s="2" t="s">
        <v>27</v>
      </c>
      <c r="S469" s="5">
        <v>1</v>
      </c>
      <c r="T469" s="1">
        <v>0</v>
      </c>
      <c r="U469" s="2">
        <f t="shared" ref="U469:U496" si="95">T469+S469</f>
        <v>1</v>
      </c>
      <c r="V469" s="1">
        <v>0</v>
      </c>
      <c r="W469" s="2">
        <f t="shared" si="93"/>
        <v>1</v>
      </c>
      <c r="X469" s="8">
        <f t="shared" si="94"/>
        <v>100</v>
      </c>
    </row>
    <row r="470" spans="1:24" ht="15" customHeight="1">
      <c r="A470" s="9">
        <v>46054</v>
      </c>
      <c r="B470" s="2" t="s">
        <v>45</v>
      </c>
      <c r="C470" s="2" t="s">
        <v>1036</v>
      </c>
      <c r="D470" s="2" t="s">
        <v>1043</v>
      </c>
      <c r="E470" s="2" t="s">
        <v>475</v>
      </c>
      <c r="F470" s="2" t="s">
        <v>1044</v>
      </c>
      <c r="G470" s="2" t="s">
        <v>1045</v>
      </c>
      <c r="H470" s="2" t="s">
        <v>24</v>
      </c>
      <c r="I470" s="6">
        <v>45</v>
      </c>
      <c r="J470" s="6">
        <v>4488</v>
      </c>
      <c r="K470" s="6">
        <v>118595</v>
      </c>
      <c r="L470" s="6">
        <v>123083</v>
      </c>
      <c r="M470" s="6">
        <v>0</v>
      </c>
      <c r="N470" s="6">
        <v>0</v>
      </c>
      <c r="O470" s="6">
        <v>0</v>
      </c>
      <c r="P470" s="2" t="s">
        <v>25</v>
      </c>
      <c r="Q470" s="2" t="s">
        <v>32</v>
      </c>
      <c r="R470" s="2" t="s">
        <v>27</v>
      </c>
      <c r="S470" s="5">
        <v>1</v>
      </c>
      <c r="T470" s="1">
        <v>0</v>
      </c>
      <c r="U470" s="2">
        <f>T470+S470</f>
        <v>1</v>
      </c>
      <c r="V470" s="1">
        <v>0</v>
      </c>
      <c r="W470" s="2">
        <f t="shared" si="93"/>
        <v>1</v>
      </c>
      <c r="X470" s="8">
        <f t="shared" si="94"/>
        <v>100</v>
      </c>
    </row>
    <row r="471" spans="1:24" ht="15" customHeight="1">
      <c r="A471" s="9">
        <v>46054</v>
      </c>
      <c r="B471" s="2" t="s">
        <v>45</v>
      </c>
      <c r="C471" s="2" t="s">
        <v>1036</v>
      </c>
      <c r="D471" s="2" t="s">
        <v>1694</v>
      </c>
      <c r="E471" s="2" t="s">
        <v>767</v>
      </c>
      <c r="F471" s="2" t="s">
        <v>1695</v>
      </c>
      <c r="G471" s="2" t="s">
        <v>49</v>
      </c>
      <c r="H471" s="2" t="s">
        <v>24</v>
      </c>
      <c r="I471" s="6">
        <v>29.84</v>
      </c>
      <c r="J471" s="6">
        <v>11637</v>
      </c>
      <c r="K471" s="6">
        <v>1180</v>
      </c>
      <c r="L471" s="6">
        <v>0</v>
      </c>
      <c r="M471" s="6">
        <v>0</v>
      </c>
      <c r="N471" s="6">
        <v>150</v>
      </c>
      <c r="O471" s="6">
        <v>12967</v>
      </c>
      <c r="P471" s="2" t="s">
        <v>25</v>
      </c>
      <c r="Q471" s="2" t="s">
        <v>32</v>
      </c>
      <c r="R471" s="2" t="s">
        <v>50</v>
      </c>
      <c r="S471" s="5">
        <v>1</v>
      </c>
      <c r="T471" s="1">
        <v>0</v>
      </c>
      <c r="U471" s="2">
        <f>T471+S471</f>
        <v>1</v>
      </c>
      <c r="V471" s="1">
        <v>0</v>
      </c>
      <c r="W471" s="2">
        <f t="shared" si="93"/>
        <v>1</v>
      </c>
      <c r="X471" s="8">
        <f t="shared" si="94"/>
        <v>100</v>
      </c>
    </row>
    <row r="472" spans="1:24" ht="15" customHeight="1">
      <c r="A472" s="9">
        <v>46054</v>
      </c>
      <c r="B472" s="2" t="s">
        <v>45</v>
      </c>
      <c r="C472" s="2" t="s">
        <v>1036</v>
      </c>
      <c r="D472" s="2" t="s">
        <v>1046</v>
      </c>
      <c r="E472" s="2" t="s">
        <v>60</v>
      </c>
      <c r="F472" s="2" t="s">
        <v>1047</v>
      </c>
      <c r="G472" s="2" t="s">
        <v>1048</v>
      </c>
      <c r="H472" s="2" t="s">
        <v>24</v>
      </c>
      <c r="I472" s="6">
        <v>29.84</v>
      </c>
      <c r="J472" s="6">
        <v>7048</v>
      </c>
      <c r="K472" s="6">
        <v>147488</v>
      </c>
      <c r="L472" s="6">
        <v>154536</v>
      </c>
      <c r="M472" s="6">
        <v>0</v>
      </c>
      <c r="N472" s="6">
        <v>0</v>
      </c>
      <c r="O472" s="6">
        <v>0</v>
      </c>
      <c r="P472" s="2" t="s">
        <v>25</v>
      </c>
      <c r="Q472" s="2" t="s">
        <v>32</v>
      </c>
      <c r="R472" s="2" t="s">
        <v>50</v>
      </c>
      <c r="S472" s="5">
        <v>0</v>
      </c>
      <c r="T472" s="1">
        <v>1</v>
      </c>
      <c r="U472" s="2">
        <f t="shared" si="95"/>
        <v>1</v>
      </c>
      <c r="V472" s="1">
        <v>0</v>
      </c>
      <c r="W472" s="2">
        <f t="shared" si="93"/>
        <v>1</v>
      </c>
      <c r="X472" s="8">
        <f t="shared" si="94"/>
        <v>0</v>
      </c>
    </row>
    <row r="473" spans="1:24" ht="15" customHeight="1">
      <c r="A473" s="9">
        <v>46054</v>
      </c>
      <c r="B473" s="2" t="s">
        <v>45</v>
      </c>
      <c r="C473" s="2" t="s">
        <v>1036</v>
      </c>
      <c r="D473" s="2" t="s">
        <v>1049</v>
      </c>
      <c r="E473" s="2" t="s">
        <v>475</v>
      </c>
      <c r="F473" s="2" t="s">
        <v>1047</v>
      </c>
      <c r="G473" s="2" t="s">
        <v>1050</v>
      </c>
      <c r="H473" s="2" t="s">
        <v>24</v>
      </c>
      <c r="I473" s="6">
        <v>30</v>
      </c>
      <c r="J473" s="6">
        <v>28666</v>
      </c>
      <c r="K473" s="6">
        <v>896561</v>
      </c>
      <c r="L473" s="6">
        <v>925227</v>
      </c>
      <c r="M473" s="6">
        <v>0</v>
      </c>
      <c r="N473" s="6">
        <v>0</v>
      </c>
      <c r="O473" s="6">
        <v>0</v>
      </c>
      <c r="P473" s="2" t="s">
        <v>25</v>
      </c>
      <c r="Q473" s="2" t="s">
        <v>32</v>
      </c>
      <c r="R473" s="2" t="s">
        <v>27</v>
      </c>
      <c r="S473" s="5">
        <v>1</v>
      </c>
      <c r="T473" s="1">
        <v>0</v>
      </c>
      <c r="U473" s="2">
        <f t="shared" si="95"/>
        <v>1</v>
      </c>
      <c r="V473" s="1">
        <v>0</v>
      </c>
      <c r="W473" s="2">
        <f t="shared" si="93"/>
        <v>1</v>
      </c>
      <c r="X473" s="8">
        <f t="shared" si="94"/>
        <v>100</v>
      </c>
    </row>
    <row r="474" spans="1:24" ht="15" customHeight="1">
      <c r="A474" s="9">
        <v>46054</v>
      </c>
      <c r="B474" s="2" t="s">
        <v>45</v>
      </c>
      <c r="C474" s="2" t="s">
        <v>1036</v>
      </c>
      <c r="D474" s="2" t="s">
        <v>1051</v>
      </c>
      <c r="E474" s="2" t="s">
        <v>475</v>
      </c>
      <c r="F474" s="2" t="s">
        <v>1047</v>
      </c>
      <c r="G474" s="2" t="s">
        <v>1052</v>
      </c>
      <c r="H474" s="2" t="s">
        <v>24</v>
      </c>
      <c r="I474" s="6">
        <v>37.299999999999997</v>
      </c>
      <c r="J474" s="6">
        <v>50</v>
      </c>
      <c r="K474" s="6">
        <v>1180</v>
      </c>
      <c r="L474" s="6">
        <v>1230</v>
      </c>
      <c r="M474" s="6">
        <v>0</v>
      </c>
      <c r="N474" s="6">
        <v>50</v>
      </c>
      <c r="O474" s="6">
        <v>50</v>
      </c>
      <c r="P474" s="2" t="s">
        <v>25</v>
      </c>
      <c r="Q474" s="2" t="s">
        <v>32</v>
      </c>
      <c r="R474" s="2" t="s">
        <v>27</v>
      </c>
      <c r="S474" s="5">
        <v>1</v>
      </c>
      <c r="T474" s="1">
        <v>0</v>
      </c>
      <c r="U474" s="2">
        <f t="shared" ref="U474:U478" si="96">T474+S474</f>
        <v>1</v>
      </c>
      <c r="V474" s="1">
        <v>0</v>
      </c>
      <c r="W474" s="2">
        <f t="shared" si="93"/>
        <v>1</v>
      </c>
      <c r="X474" s="8">
        <f t="shared" si="94"/>
        <v>100</v>
      </c>
    </row>
    <row r="475" spans="1:24" ht="15" customHeight="1">
      <c r="A475" s="9">
        <v>46054</v>
      </c>
      <c r="B475" s="2" t="s">
        <v>45</v>
      </c>
      <c r="C475" s="2" t="s">
        <v>1036</v>
      </c>
      <c r="D475" s="2" t="s">
        <v>1053</v>
      </c>
      <c r="E475" s="2" t="s">
        <v>475</v>
      </c>
      <c r="F475" s="2" t="s">
        <v>1054</v>
      </c>
      <c r="G475" s="2" t="s">
        <v>1055</v>
      </c>
      <c r="H475" s="2" t="s">
        <v>24</v>
      </c>
      <c r="I475" s="6">
        <v>36</v>
      </c>
      <c r="J475" s="6">
        <v>29214</v>
      </c>
      <c r="K475" s="6">
        <v>292822</v>
      </c>
      <c r="L475" s="6">
        <v>322822</v>
      </c>
      <c r="M475" s="6">
        <v>0</v>
      </c>
      <c r="N475" s="6">
        <v>786</v>
      </c>
      <c r="O475" s="6">
        <v>0</v>
      </c>
      <c r="P475" s="2" t="s">
        <v>25</v>
      </c>
      <c r="Q475" s="2" t="s">
        <v>32</v>
      </c>
      <c r="R475" s="2" t="s">
        <v>27</v>
      </c>
      <c r="S475" s="5">
        <v>1</v>
      </c>
      <c r="T475" s="1">
        <v>0</v>
      </c>
      <c r="U475" s="2">
        <f t="shared" si="96"/>
        <v>1</v>
      </c>
      <c r="V475" s="1">
        <v>0</v>
      </c>
      <c r="W475" s="2">
        <f>V475+U475</f>
        <v>1</v>
      </c>
      <c r="X475" s="8">
        <f t="shared" si="94"/>
        <v>100</v>
      </c>
    </row>
    <row r="476" spans="1:24" ht="15" customHeight="1">
      <c r="A476" s="9">
        <v>46054</v>
      </c>
      <c r="B476" s="2" t="s">
        <v>45</v>
      </c>
      <c r="C476" s="2" t="s">
        <v>1036</v>
      </c>
      <c r="D476" s="2" t="s">
        <v>1056</v>
      </c>
      <c r="E476" s="2" t="s">
        <v>475</v>
      </c>
      <c r="F476" s="2" t="s">
        <v>1057</v>
      </c>
      <c r="G476" s="2" t="s">
        <v>1055</v>
      </c>
      <c r="H476" s="2" t="s">
        <v>24</v>
      </c>
      <c r="I476" s="6">
        <v>50</v>
      </c>
      <c r="J476" s="6">
        <v>12108</v>
      </c>
      <c r="K476" s="6">
        <v>586756</v>
      </c>
      <c r="L476" s="6">
        <v>598864</v>
      </c>
      <c r="M476" s="6">
        <v>0</v>
      </c>
      <c r="N476" s="6">
        <v>0</v>
      </c>
      <c r="O476" s="6">
        <v>0</v>
      </c>
      <c r="P476" s="2" t="s">
        <v>25</v>
      </c>
      <c r="Q476" s="2" t="s">
        <v>32</v>
      </c>
      <c r="R476" s="2" t="s">
        <v>27</v>
      </c>
      <c r="S476" s="5">
        <v>1</v>
      </c>
      <c r="T476" s="1">
        <v>0</v>
      </c>
      <c r="U476" s="2">
        <f>T476+S476</f>
        <v>1</v>
      </c>
      <c r="V476" s="1">
        <v>0</v>
      </c>
      <c r="W476" s="2">
        <f t="shared" si="93"/>
        <v>1</v>
      </c>
      <c r="X476" s="8">
        <f t="shared" si="94"/>
        <v>100</v>
      </c>
    </row>
    <row r="477" spans="1:24" ht="15" customHeight="1">
      <c r="A477" s="9">
        <v>46054</v>
      </c>
      <c r="B477" s="2" t="s">
        <v>45</v>
      </c>
      <c r="C477" s="2" t="s">
        <v>1036</v>
      </c>
      <c r="D477" s="2" t="s">
        <v>1058</v>
      </c>
      <c r="E477" s="2" t="s">
        <v>475</v>
      </c>
      <c r="F477" s="2" t="s">
        <v>1059</v>
      </c>
      <c r="G477" s="2" t="s">
        <v>1060</v>
      </c>
      <c r="H477" s="2" t="s">
        <v>24</v>
      </c>
      <c r="I477" s="6">
        <v>29.84</v>
      </c>
      <c r="J477" s="6">
        <v>94124</v>
      </c>
      <c r="K477" s="6">
        <v>751165</v>
      </c>
      <c r="L477" s="6">
        <v>847863</v>
      </c>
      <c r="M477" s="6">
        <v>0</v>
      </c>
      <c r="N477" s="6">
        <v>2574</v>
      </c>
      <c r="O477" s="6">
        <v>0</v>
      </c>
      <c r="P477" s="2" t="s">
        <v>25</v>
      </c>
      <c r="Q477" s="2" t="s">
        <v>32</v>
      </c>
      <c r="R477" s="2" t="s">
        <v>27</v>
      </c>
      <c r="S477" s="5">
        <v>1</v>
      </c>
      <c r="T477" s="1">
        <v>0</v>
      </c>
      <c r="U477" s="2">
        <f t="shared" si="96"/>
        <v>1</v>
      </c>
      <c r="V477" s="1">
        <v>0</v>
      </c>
      <c r="W477" s="2">
        <f t="shared" si="93"/>
        <v>1</v>
      </c>
      <c r="X477" s="8">
        <f t="shared" si="94"/>
        <v>100</v>
      </c>
    </row>
    <row r="478" spans="1:24" ht="15" customHeight="1">
      <c r="A478" s="9">
        <v>46054</v>
      </c>
      <c r="B478" s="2" t="s">
        <v>45</v>
      </c>
      <c r="C478" s="2" t="s">
        <v>1036</v>
      </c>
      <c r="D478" s="2" t="s">
        <v>1061</v>
      </c>
      <c r="E478" s="2" t="s">
        <v>475</v>
      </c>
      <c r="F478" s="2" t="s">
        <v>1062</v>
      </c>
      <c r="G478" s="2" t="s">
        <v>1055</v>
      </c>
      <c r="H478" s="2" t="s">
        <v>24</v>
      </c>
      <c r="I478" s="6">
        <v>29.84</v>
      </c>
      <c r="J478" s="6">
        <v>91183</v>
      </c>
      <c r="K478" s="6">
        <v>819102</v>
      </c>
      <c r="L478" s="6">
        <v>912797</v>
      </c>
      <c r="M478" s="6">
        <v>0</v>
      </c>
      <c r="N478" s="6">
        <v>2512</v>
      </c>
      <c r="O478" s="6">
        <v>0</v>
      </c>
      <c r="P478" s="2" t="s">
        <v>25</v>
      </c>
      <c r="Q478" s="2" t="s">
        <v>32</v>
      </c>
      <c r="R478" s="2" t="s">
        <v>27</v>
      </c>
      <c r="S478" s="5">
        <v>1</v>
      </c>
      <c r="T478" s="1">
        <v>0</v>
      </c>
      <c r="U478" s="2">
        <f t="shared" si="96"/>
        <v>1</v>
      </c>
      <c r="V478" s="1">
        <v>0</v>
      </c>
      <c r="W478" s="2">
        <f>V478+U478</f>
        <v>1</v>
      </c>
      <c r="X478" s="8">
        <f t="shared" si="94"/>
        <v>100</v>
      </c>
    </row>
    <row r="479" spans="1:24" ht="15" customHeight="1">
      <c r="A479" s="9">
        <v>46054</v>
      </c>
      <c r="B479" s="2" t="s">
        <v>45</v>
      </c>
      <c r="C479" s="2" t="s">
        <v>1036</v>
      </c>
      <c r="D479" s="2" t="s">
        <v>1063</v>
      </c>
      <c r="E479" s="2" t="s">
        <v>475</v>
      </c>
      <c r="F479" s="2" t="s">
        <v>1064</v>
      </c>
      <c r="G479" s="2" t="s">
        <v>1065</v>
      </c>
      <c r="H479" s="2" t="s">
        <v>24</v>
      </c>
      <c r="I479" s="6">
        <v>29.84</v>
      </c>
      <c r="J479" s="6">
        <v>50</v>
      </c>
      <c r="K479" s="6">
        <v>1180</v>
      </c>
      <c r="L479" s="6">
        <v>1230</v>
      </c>
      <c r="M479" s="6">
        <v>0</v>
      </c>
      <c r="N479" s="6">
        <v>0</v>
      </c>
      <c r="O479" s="6">
        <v>0</v>
      </c>
      <c r="P479" s="2" t="s">
        <v>25</v>
      </c>
      <c r="Q479" s="2" t="s">
        <v>32</v>
      </c>
      <c r="R479" s="2" t="s">
        <v>27</v>
      </c>
      <c r="S479" s="5">
        <v>1</v>
      </c>
      <c r="T479" s="1">
        <v>0</v>
      </c>
      <c r="U479" s="2">
        <f>T479+S479</f>
        <v>1</v>
      </c>
      <c r="V479" s="1">
        <v>0</v>
      </c>
      <c r="W479" s="2">
        <f t="shared" si="93"/>
        <v>1</v>
      </c>
      <c r="X479" s="8">
        <f t="shared" si="94"/>
        <v>100</v>
      </c>
    </row>
    <row r="480" spans="1:24" ht="15" customHeight="1">
      <c r="A480" s="9">
        <v>46054</v>
      </c>
      <c r="B480" s="2" t="s">
        <v>45</v>
      </c>
      <c r="C480" s="2" t="s">
        <v>1036</v>
      </c>
      <c r="D480" s="2" t="s">
        <v>1479</v>
      </c>
      <c r="E480" s="2" t="s">
        <v>475</v>
      </c>
      <c r="F480" s="2" t="s">
        <v>1066</v>
      </c>
      <c r="G480" s="2" t="s">
        <v>1067</v>
      </c>
      <c r="H480" s="2" t="s">
        <v>24</v>
      </c>
      <c r="I480" s="6">
        <v>29.84</v>
      </c>
      <c r="J480" s="6">
        <v>6081</v>
      </c>
      <c r="K480" s="6">
        <v>164517</v>
      </c>
      <c r="L480" s="6">
        <v>170598</v>
      </c>
      <c r="M480" s="6">
        <v>0</v>
      </c>
      <c r="N480" s="6">
        <v>0</v>
      </c>
      <c r="O480" s="6">
        <v>0</v>
      </c>
      <c r="P480" s="2" t="s">
        <v>25</v>
      </c>
      <c r="Q480" s="2" t="s">
        <v>32</v>
      </c>
      <c r="R480" s="2" t="s">
        <v>27</v>
      </c>
      <c r="S480" s="5">
        <v>1</v>
      </c>
      <c r="T480" s="1">
        <v>0</v>
      </c>
      <c r="U480" s="2">
        <f>T480+S480</f>
        <v>1</v>
      </c>
      <c r="V480" s="1">
        <v>0</v>
      </c>
      <c r="W480" s="2">
        <f t="shared" si="93"/>
        <v>1</v>
      </c>
      <c r="X480" s="8">
        <f t="shared" si="94"/>
        <v>100</v>
      </c>
    </row>
    <row r="481" spans="1:24" ht="15" customHeight="1">
      <c r="A481" s="9">
        <v>46054</v>
      </c>
      <c r="B481" s="2" t="s">
        <v>45</v>
      </c>
      <c r="C481" s="2" t="s">
        <v>1036</v>
      </c>
      <c r="D481" s="2" t="s">
        <v>1068</v>
      </c>
      <c r="E481" s="2" t="s">
        <v>1069</v>
      </c>
      <c r="F481" s="2" t="s">
        <v>1070</v>
      </c>
      <c r="G481" s="2" t="s">
        <v>1071</v>
      </c>
      <c r="H481" s="2" t="s">
        <v>24</v>
      </c>
      <c r="I481" s="6">
        <v>29.84</v>
      </c>
      <c r="J481" s="6">
        <v>-9005</v>
      </c>
      <c r="K481" s="6">
        <v>0</v>
      </c>
      <c r="L481" s="6">
        <v>0</v>
      </c>
      <c r="M481" s="6">
        <v>0</v>
      </c>
      <c r="N481" s="6">
        <v>0</v>
      </c>
      <c r="O481" s="6">
        <v>-9005</v>
      </c>
      <c r="P481" s="2" t="s">
        <v>25</v>
      </c>
      <c r="Q481" s="2" t="s">
        <v>26</v>
      </c>
      <c r="R481" s="2" t="s">
        <v>27</v>
      </c>
      <c r="S481" s="5">
        <v>0</v>
      </c>
      <c r="T481" s="1">
        <v>0</v>
      </c>
      <c r="U481" s="2">
        <f>T481+S481</f>
        <v>0</v>
      </c>
      <c r="V481" s="1">
        <v>1</v>
      </c>
      <c r="W481" s="2">
        <f t="shared" si="93"/>
        <v>1</v>
      </c>
      <c r="X481" s="8" t="e">
        <f t="shared" si="94"/>
        <v>#DIV/0!</v>
      </c>
    </row>
    <row r="482" spans="1:24" ht="15" customHeight="1">
      <c r="A482" s="9">
        <v>46054</v>
      </c>
      <c r="B482" s="2" t="s">
        <v>45</v>
      </c>
      <c r="C482" s="2" t="s">
        <v>1036</v>
      </c>
      <c r="D482" s="2" t="s">
        <v>1072</v>
      </c>
      <c r="E482" s="2" t="s">
        <v>475</v>
      </c>
      <c r="F482" s="2" t="s">
        <v>1073</v>
      </c>
      <c r="G482" s="2" t="s">
        <v>65</v>
      </c>
      <c r="H482" s="2" t="s">
        <v>24</v>
      </c>
      <c r="I482" s="6">
        <v>30</v>
      </c>
      <c r="J482" s="6">
        <v>102808</v>
      </c>
      <c r="K482" s="6">
        <v>874596</v>
      </c>
      <c r="L482" s="6">
        <v>980751</v>
      </c>
      <c r="M482" s="6">
        <v>0</v>
      </c>
      <c r="N482" s="6">
        <v>3347</v>
      </c>
      <c r="O482" s="6">
        <v>0</v>
      </c>
      <c r="P482" s="2" t="s">
        <v>25</v>
      </c>
      <c r="Q482" s="2" t="s">
        <v>32</v>
      </c>
      <c r="R482" s="2" t="s">
        <v>27</v>
      </c>
      <c r="S482" s="5">
        <v>1</v>
      </c>
      <c r="T482" s="1">
        <v>0</v>
      </c>
      <c r="U482" s="2">
        <f t="shared" si="95"/>
        <v>1</v>
      </c>
      <c r="V482" s="1">
        <v>0</v>
      </c>
      <c r="W482" s="2">
        <f t="shared" si="93"/>
        <v>1</v>
      </c>
      <c r="X482" s="8">
        <f t="shared" si="94"/>
        <v>100</v>
      </c>
    </row>
    <row r="483" spans="1:24" ht="15" customHeight="1">
      <c r="A483" s="9">
        <v>46054</v>
      </c>
      <c r="B483" s="2" t="s">
        <v>45</v>
      </c>
      <c r="C483" s="2" t="s">
        <v>1036</v>
      </c>
      <c r="D483" s="2" t="s">
        <v>1074</v>
      </c>
      <c r="E483" s="2" t="s">
        <v>475</v>
      </c>
      <c r="F483" s="2" t="s">
        <v>1075</v>
      </c>
      <c r="G483" s="2" t="s">
        <v>65</v>
      </c>
      <c r="H483" s="2" t="s">
        <v>24</v>
      </c>
      <c r="I483" s="6">
        <v>29.84</v>
      </c>
      <c r="J483" s="6">
        <v>58299</v>
      </c>
      <c r="K483" s="6">
        <v>341009</v>
      </c>
      <c r="L483" s="6">
        <v>402036</v>
      </c>
      <c r="M483" s="6">
        <v>0</v>
      </c>
      <c r="N483" s="6">
        <v>2728</v>
      </c>
      <c r="O483" s="6">
        <v>0</v>
      </c>
      <c r="P483" s="2" t="s">
        <v>25</v>
      </c>
      <c r="Q483" s="2" t="s">
        <v>32</v>
      </c>
      <c r="R483" s="2" t="s">
        <v>27</v>
      </c>
      <c r="S483" s="5">
        <v>1</v>
      </c>
      <c r="T483" s="1">
        <v>0</v>
      </c>
      <c r="U483" s="2">
        <f>T483+S483</f>
        <v>1</v>
      </c>
      <c r="V483" s="1">
        <v>0</v>
      </c>
      <c r="W483" s="2">
        <f t="shared" si="93"/>
        <v>1</v>
      </c>
      <c r="X483" s="8">
        <f t="shared" si="94"/>
        <v>100</v>
      </c>
    </row>
    <row r="484" spans="1:24" ht="15" customHeight="1">
      <c r="A484" s="9">
        <v>46054</v>
      </c>
      <c r="B484" s="2" t="s">
        <v>45</v>
      </c>
      <c r="C484" s="2" t="s">
        <v>1036</v>
      </c>
      <c r="D484" s="2" t="s">
        <v>1076</v>
      </c>
      <c r="E484" s="2" t="s">
        <v>475</v>
      </c>
      <c r="F484" s="2" t="s">
        <v>1077</v>
      </c>
      <c r="G484" s="2" t="s">
        <v>65</v>
      </c>
      <c r="H484" s="2" t="s">
        <v>24</v>
      </c>
      <c r="I484" s="6">
        <v>29.84</v>
      </c>
      <c r="J484" s="6">
        <v>9074</v>
      </c>
      <c r="K484" s="6">
        <v>205593</v>
      </c>
      <c r="L484" s="6">
        <v>214667</v>
      </c>
      <c r="M484" s="6">
        <v>0</v>
      </c>
      <c r="N484" s="6">
        <v>0</v>
      </c>
      <c r="O484" s="6">
        <v>0</v>
      </c>
      <c r="P484" s="2" t="s">
        <v>25</v>
      </c>
      <c r="Q484" s="2" t="s">
        <v>32</v>
      </c>
      <c r="R484" s="2" t="s">
        <v>27</v>
      </c>
      <c r="S484" s="5">
        <v>1</v>
      </c>
      <c r="T484" s="1">
        <v>0</v>
      </c>
      <c r="U484" s="2">
        <f>T484+S484</f>
        <v>1</v>
      </c>
      <c r="V484" s="1">
        <v>0</v>
      </c>
      <c r="W484" s="2">
        <f t="shared" si="93"/>
        <v>1</v>
      </c>
      <c r="X484" s="8">
        <f t="shared" si="94"/>
        <v>100</v>
      </c>
    </row>
    <row r="485" spans="1:24" ht="15" customHeight="1">
      <c r="A485" s="9">
        <v>46054</v>
      </c>
      <c r="B485" s="2" t="s">
        <v>45</v>
      </c>
      <c r="C485" s="2" t="s">
        <v>1036</v>
      </c>
      <c r="D485" s="2" t="s">
        <v>1616</v>
      </c>
      <c r="E485" s="2" t="s">
        <v>60</v>
      </c>
      <c r="F485" s="2" t="s">
        <v>88</v>
      </c>
      <c r="G485" s="2" t="s">
        <v>1617</v>
      </c>
      <c r="H485" s="2" t="s">
        <v>24</v>
      </c>
      <c r="I485" s="6">
        <v>29.84</v>
      </c>
      <c r="J485" s="6">
        <v>2096613</v>
      </c>
      <c r="K485" s="6">
        <v>110894</v>
      </c>
      <c r="L485" s="6">
        <v>125000</v>
      </c>
      <c r="M485" s="6">
        <v>0</v>
      </c>
      <c r="N485" s="6">
        <v>12443</v>
      </c>
      <c r="O485" s="6">
        <v>2094950</v>
      </c>
      <c r="P485" s="2" t="s">
        <v>25</v>
      </c>
      <c r="Q485" s="2" t="s">
        <v>32</v>
      </c>
      <c r="R485" s="2" t="s">
        <v>50</v>
      </c>
      <c r="S485" s="5">
        <v>1</v>
      </c>
      <c r="T485" s="1">
        <v>0</v>
      </c>
      <c r="U485" s="2">
        <f t="shared" si="95"/>
        <v>1</v>
      </c>
      <c r="V485" s="1">
        <v>0</v>
      </c>
      <c r="W485" s="2">
        <f t="shared" si="93"/>
        <v>1</v>
      </c>
      <c r="X485" s="8">
        <f t="shared" si="94"/>
        <v>100</v>
      </c>
    </row>
    <row r="486" spans="1:24" ht="15" customHeight="1">
      <c r="A486" s="9">
        <v>46054</v>
      </c>
      <c r="B486" s="2" t="s">
        <v>45</v>
      </c>
      <c r="C486" s="2" t="s">
        <v>1036</v>
      </c>
      <c r="D486" s="2" t="s">
        <v>1078</v>
      </c>
      <c r="E486" s="2" t="s">
        <v>475</v>
      </c>
      <c r="F486" s="2" t="s">
        <v>1073</v>
      </c>
      <c r="G486" s="2" t="s">
        <v>65</v>
      </c>
      <c r="H486" s="2" t="s">
        <v>24</v>
      </c>
      <c r="I486" s="6">
        <v>29.84</v>
      </c>
      <c r="J486" s="6">
        <v>6266</v>
      </c>
      <c r="K486" s="6">
        <v>63847</v>
      </c>
      <c r="L486" s="6">
        <v>70113</v>
      </c>
      <c r="M486" s="6">
        <v>0</v>
      </c>
      <c r="N486" s="6">
        <v>0</v>
      </c>
      <c r="O486" s="6">
        <v>0</v>
      </c>
      <c r="P486" s="2" t="s">
        <v>25</v>
      </c>
      <c r="Q486" s="2" t="s">
        <v>32</v>
      </c>
      <c r="R486" s="2" t="s">
        <v>66</v>
      </c>
      <c r="S486" s="5">
        <v>1</v>
      </c>
      <c r="T486" s="1">
        <v>0</v>
      </c>
      <c r="U486" s="2">
        <f>T486+S486</f>
        <v>1</v>
      </c>
      <c r="V486" s="1">
        <v>0</v>
      </c>
      <c r="W486" s="2">
        <f t="shared" si="93"/>
        <v>1</v>
      </c>
      <c r="X486" s="8">
        <f t="shared" si="94"/>
        <v>100</v>
      </c>
    </row>
    <row r="487" spans="1:24" ht="15" customHeight="1">
      <c r="A487" s="9">
        <v>46054</v>
      </c>
      <c r="B487" s="2" t="s">
        <v>45</v>
      </c>
      <c r="C487" s="2" t="s">
        <v>1036</v>
      </c>
      <c r="D487" s="2" t="s">
        <v>1618</v>
      </c>
      <c r="E487" s="2" t="s">
        <v>60</v>
      </c>
      <c r="F487" s="2" t="s">
        <v>936</v>
      </c>
      <c r="G487" s="2" t="s">
        <v>1619</v>
      </c>
      <c r="H487" s="2" t="s">
        <v>24</v>
      </c>
      <c r="I487" s="6">
        <v>29.84</v>
      </c>
      <c r="J487" s="6">
        <v>384976</v>
      </c>
      <c r="K487" s="6">
        <v>630970</v>
      </c>
      <c r="L487" s="6">
        <v>650000</v>
      </c>
      <c r="M487" s="6">
        <v>0</v>
      </c>
      <c r="N487" s="6">
        <v>44643</v>
      </c>
      <c r="O487" s="6">
        <v>410589</v>
      </c>
      <c r="P487" s="2" t="s">
        <v>25</v>
      </c>
      <c r="Q487" s="2" t="s">
        <v>32</v>
      </c>
      <c r="R487" s="2" t="s">
        <v>50</v>
      </c>
      <c r="S487" s="5">
        <v>1</v>
      </c>
      <c r="T487" s="1">
        <v>0</v>
      </c>
      <c r="U487" s="2">
        <f>T487+S487</f>
        <v>1</v>
      </c>
      <c r="V487" s="1">
        <v>0</v>
      </c>
      <c r="W487" s="2">
        <f t="shared" si="93"/>
        <v>1</v>
      </c>
      <c r="X487" s="8">
        <f t="shared" si="94"/>
        <v>100</v>
      </c>
    </row>
    <row r="488" spans="1:24" ht="15" customHeight="1">
      <c r="A488" s="9">
        <v>46054</v>
      </c>
      <c r="B488" s="2" t="s">
        <v>45</v>
      </c>
      <c r="C488" s="2" t="s">
        <v>1036</v>
      </c>
      <c r="D488" s="2" t="s">
        <v>1666</v>
      </c>
      <c r="E488" s="2" t="s">
        <v>767</v>
      </c>
      <c r="F488" s="2" t="s">
        <v>1667</v>
      </c>
      <c r="G488" s="2" t="s">
        <v>1668</v>
      </c>
      <c r="H488" s="2" t="s">
        <v>24</v>
      </c>
      <c r="I488" s="6">
        <v>29.84</v>
      </c>
      <c r="J488" s="6">
        <v>1665271</v>
      </c>
      <c r="K488" s="6">
        <v>161714</v>
      </c>
      <c r="L488" s="6">
        <v>350000</v>
      </c>
      <c r="M488" s="6">
        <v>0</v>
      </c>
      <c r="N488" s="6">
        <v>6776</v>
      </c>
      <c r="O488" s="6">
        <v>1483761</v>
      </c>
      <c r="P488" s="2" t="s">
        <v>25</v>
      </c>
      <c r="Q488" s="2" t="s">
        <v>32</v>
      </c>
      <c r="R488" s="2" t="s">
        <v>50</v>
      </c>
      <c r="S488" s="5">
        <v>1</v>
      </c>
      <c r="T488" s="1">
        <v>0</v>
      </c>
      <c r="U488" s="2">
        <f t="shared" si="95"/>
        <v>1</v>
      </c>
      <c r="V488" s="1">
        <v>0</v>
      </c>
      <c r="W488" s="2">
        <f t="shared" si="93"/>
        <v>1</v>
      </c>
      <c r="X488" s="8">
        <f t="shared" si="94"/>
        <v>100</v>
      </c>
    </row>
    <row r="489" spans="1:24" ht="15" customHeight="1">
      <c r="A489" s="9">
        <v>46054</v>
      </c>
      <c r="B489" s="2" t="s">
        <v>45</v>
      </c>
      <c r="C489" s="2" t="s">
        <v>1036</v>
      </c>
      <c r="D489" s="2" t="s">
        <v>1669</v>
      </c>
      <c r="E489" s="2" t="s">
        <v>767</v>
      </c>
      <c r="F489" s="2" t="s">
        <v>1670</v>
      </c>
      <c r="G489" s="2" t="s">
        <v>1671</v>
      </c>
      <c r="H489" s="2" t="s">
        <v>24</v>
      </c>
      <c r="I489" s="6">
        <v>29.84</v>
      </c>
      <c r="J489" s="6">
        <v>1872508</v>
      </c>
      <c r="K489" s="6">
        <v>47806</v>
      </c>
      <c r="L489" s="6">
        <v>0</v>
      </c>
      <c r="M489" s="6">
        <v>0</v>
      </c>
      <c r="N489" s="6">
        <v>6442</v>
      </c>
      <c r="O489" s="6">
        <v>1926756</v>
      </c>
      <c r="P489" s="2" t="s">
        <v>25</v>
      </c>
      <c r="Q489" s="2" t="s">
        <v>32</v>
      </c>
      <c r="R489" s="2" t="s">
        <v>50</v>
      </c>
      <c r="S489" s="5">
        <v>1</v>
      </c>
      <c r="T489" s="1">
        <v>0</v>
      </c>
      <c r="U489" s="2">
        <f>T489+S489</f>
        <v>1</v>
      </c>
      <c r="V489" s="1">
        <v>0</v>
      </c>
      <c r="W489" s="2">
        <f t="shared" si="93"/>
        <v>1</v>
      </c>
      <c r="X489" s="8">
        <f t="shared" si="94"/>
        <v>100</v>
      </c>
    </row>
    <row r="490" spans="1:24" ht="15" customHeight="1">
      <c r="A490" s="9">
        <v>46054</v>
      </c>
      <c r="B490" s="2" t="s">
        <v>45</v>
      </c>
      <c r="C490" s="2" t="s">
        <v>1036</v>
      </c>
      <c r="D490" s="2" t="s">
        <v>1079</v>
      </c>
      <c r="E490" s="2" t="s">
        <v>475</v>
      </c>
      <c r="F490" s="2" t="s">
        <v>1080</v>
      </c>
      <c r="G490" s="2" t="s">
        <v>974</v>
      </c>
      <c r="H490" s="2" t="s">
        <v>24</v>
      </c>
      <c r="I490" s="6">
        <v>29.84</v>
      </c>
      <c r="J490" s="6">
        <v>50</v>
      </c>
      <c r="K490" s="6">
        <v>1180</v>
      </c>
      <c r="L490" s="6">
        <v>1230</v>
      </c>
      <c r="M490" s="6">
        <v>0</v>
      </c>
      <c r="N490" s="6">
        <v>50</v>
      </c>
      <c r="O490" s="6">
        <v>50</v>
      </c>
      <c r="P490" s="2" t="s">
        <v>25</v>
      </c>
      <c r="Q490" s="2" t="s">
        <v>32</v>
      </c>
      <c r="R490" s="2" t="s">
        <v>27</v>
      </c>
      <c r="S490" s="5">
        <v>1</v>
      </c>
      <c r="T490" s="1">
        <v>0</v>
      </c>
      <c r="U490" s="2">
        <f t="shared" si="95"/>
        <v>1</v>
      </c>
      <c r="V490" s="1">
        <v>0</v>
      </c>
      <c r="W490" s="2">
        <f t="shared" si="93"/>
        <v>1</v>
      </c>
      <c r="X490" s="8">
        <f t="shared" si="94"/>
        <v>100</v>
      </c>
    </row>
    <row r="491" spans="1:24" ht="15" customHeight="1">
      <c r="A491" s="9">
        <v>46054</v>
      </c>
      <c r="B491" s="2" t="s">
        <v>45</v>
      </c>
      <c r="C491" s="2" t="s">
        <v>1036</v>
      </c>
      <c r="D491" s="2" t="s">
        <v>1081</v>
      </c>
      <c r="E491" s="2" t="s">
        <v>475</v>
      </c>
      <c r="F491" s="2" t="s">
        <v>1082</v>
      </c>
      <c r="G491" s="2" t="s">
        <v>1083</v>
      </c>
      <c r="H491" s="2" t="s">
        <v>24</v>
      </c>
      <c r="I491" s="6">
        <v>29.84</v>
      </c>
      <c r="J491" s="6">
        <v>22149</v>
      </c>
      <c r="K491" s="6">
        <v>256747</v>
      </c>
      <c r="L491" s="6">
        <v>279476</v>
      </c>
      <c r="M491" s="6">
        <v>0</v>
      </c>
      <c r="N491" s="6">
        <v>580</v>
      </c>
      <c r="O491" s="6">
        <v>0</v>
      </c>
      <c r="P491" s="2" t="s">
        <v>25</v>
      </c>
      <c r="Q491" s="2" t="s">
        <v>32</v>
      </c>
      <c r="R491" s="2" t="s">
        <v>27</v>
      </c>
      <c r="S491" s="5">
        <v>1</v>
      </c>
      <c r="T491" s="1">
        <v>0</v>
      </c>
      <c r="U491" s="2">
        <f t="shared" si="95"/>
        <v>1</v>
      </c>
      <c r="V491" s="1">
        <v>0</v>
      </c>
      <c r="W491" s="2">
        <f t="shared" si="93"/>
        <v>1</v>
      </c>
      <c r="X491" s="8">
        <f t="shared" si="94"/>
        <v>100</v>
      </c>
    </row>
    <row r="492" spans="1:24" ht="15" customHeight="1">
      <c r="A492" s="9">
        <v>46054</v>
      </c>
      <c r="B492" s="2" t="s">
        <v>45</v>
      </c>
      <c r="C492" s="2" t="s">
        <v>1036</v>
      </c>
      <c r="D492" s="2" t="s">
        <v>1651</v>
      </c>
      <c r="E492" s="2" t="s">
        <v>767</v>
      </c>
      <c r="F492" s="2" t="s">
        <v>1652</v>
      </c>
      <c r="G492" s="2" t="s">
        <v>1653</v>
      </c>
      <c r="H492" s="2" t="s">
        <v>24</v>
      </c>
      <c r="I492" s="6">
        <v>29.84</v>
      </c>
      <c r="J492" s="6">
        <v>293387</v>
      </c>
      <c r="K492" s="6">
        <v>1180</v>
      </c>
      <c r="L492" s="6">
        <v>0</v>
      </c>
      <c r="M492" s="6">
        <v>0</v>
      </c>
      <c r="N492" s="6">
        <v>150</v>
      </c>
      <c r="O492" s="6">
        <v>294717</v>
      </c>
      <c r="P492" s="2" t="s">
        <v>25</v>
      </c>
      <c r="Q492" s="2" t="s">
        <v>32</v>
      </c>
      <c r="R492" s="2" t="s">
        <v>50</v>
      </c>
      <c r="S492" s="5">
        <v>1</v>
      </c>
      <c r="T492" s="1">
        <v>0</v>
      </c>
      <c r="U492" s="2">
        <f>T492+S492</f>
        <v>1</v>
      </c>
      <c r="V492" s="1">
        <v>0</v>
      </c>
      <c r="W492" s="2">
        <f t="shared" si="93"/>
        <v>1</v>
      </c>
      <c r="X492" s="8">
        <f t="shared" si="94"/>
        <v>100</v>
      </c>
    </row>
    <row r="493" spans="1:24" ht="15" customHeight="1">
      <c r="A493" s="9">
        <v>46054</v>
      </c>
      <c r="B493" s="2" t="s">
        <v>45</v>
      </c>
      <c r="C493" s="2" t="s">
        <v>1036</v>
      </c>
      <c r="D493" s="2" t="s">
        <v>1480</v>
      </c>
      <c r="E493" s="2" t="s">
        <v>475</v>
      </c>
      <c r="F493" s="2" t="s">
        <v>1481</v>
      </c>
      <c r="G493" s="2" t="s">
        <v>65</v>
      </c>
      <c r="H493" s="2" t="s">
        <v>24</v>
      </c>
      <c r="I493" s="6">
        <v>426</v>
      </c>
      <c r="J493" s="6">
        <v>121043</v>
      </c>
      <c r="K493" s="6">
        <v>3740345</v>
      </c>
      <c r="L493" s="6">
        <v>3861388</v>
      </c>
      <c r="M493" s="6">
        <v>0</v>
      </c>
      <c r="N493" s="6">
        <v>0</v>
      </c>
      <c r="O493" s="6">
        <v>0</v>
      </c>
      <c r="P493" s="2" t="s">
        <v>25</v>
      </c>
      <c r="Q493" s="2" t="s">
        <v>32</v>
      </c>
      <c r="R493" s="2" t="s">
        <v>27</v>
      </c>
      <c r="S493" s="5">
        <v>1</v>
      </c>
      <c r="T493" s="1">
        <v>0</v>
      </c>
      <c r="U493" s="2">
        <f>T493+S493</f>
        <v>1</v>
      </c>
      <c r="V493" s="1">
        <v>0</v>
      </c>
      <c r="W493" s="2">
        <f t="shared" si="93"/>
        <v>1</v>
      </c>
      <c r="X493" s="8">
        <f t="shared" si="94"/>
        <v>100</v>
      </c>
    </row>
    <row r="494" spans="1:24" ht="15" customHeight="1">
      <c r="A494" s="9">
        <v>46054</v>
      </c>
      <c r="B494" s="2" t="s">
        <v>45</v>
      </c>
      <c r="C494" s="2" t="s">
        <v>1036</v>
      </c>
      <c r="D494" s="2" t="s">
        <v>1084</v>
      </c>
      <c r="E494" s="2" t="s">
        <v>1085</v>
      </c>
      <c r="F494" s="2" t="s">
        <v>658</v>
      </c>
      <c r="G494" s="2" t="s">
        <v>1060</v>
      </c>
      <c r="H494" s="2" t="s">
        <v>531</v>
      </c>
      <c r="I494" s="6">
        <v>3</v>
      </c>
      <c r="J494" s="6">
        <v>529282</v>
      </c>
      <c r="K494" s="6">
        <v>0</v>
      </c>
      <c r="L494" s="6">
        <v>0</v>
      </c>
      <c r="M494" s="6">
        <v>0</v>
      </c>
      <c r="N494" s="6">
        <v>0</v>
      </c>
      <c r="O494" s="6">
        <v>529282</v>
      </c>
      <c r="P494" s="2" t="s">
        <v>31</v>
      </c>
      <c r="Q494" s="2" t="s">
        <v>26</v>
      </c>
      <c r="R494" s="2" t="s">
        <v>532</v>
      </c>
      <c r="S494" s="5">
        <v>0</v>
      </c>
      <c r="T494" s="1">
        <v>0</v>
      </c>
      <c r="U494" s="2">
        <f>T494+S494</f>
        <v>0</v>
      </c>
      <c r="V494" s="1">
        <v>1</v>
      </c>
      <c r="W494" s="2">
        <f t="shared" ref="W494:W496" si="97">V494+U494</f>
        <v>1</v>
      </c>
      <c r="X494" s="8" t="e">
        <f t="shared" si="94"/>
        <v>#DIV/0!</v>
      </c>
    </row>
    <row r="495" spans="1:24" ht="15" customHeight="1">
      <c r="A495" s="9">
        <v>46054</v>
      </c>
      <c r="B495" s="2" t="s">
        <v>45</v>
      </c>
      <c r="C495" s="2" t="s">
        <v>1036</v>
      </c>
      <c r="D495" s="2" t="s">
        <v>1086</v>
      </c>
      <c r="E495" s="2" t="s">
        <v>807</v>
      </c>
      <c r="F495" s="2" t="s">
        <v>1087</v>
      </c>
      <c r="G495" s="2" t="s">
        <v>65</v>
      </c>
      <c r="H495" s="2" t="s">
        <v>24</v>
      </c>
      <c r="I495" s="6">
        <v>29.84</v>
      </c>
      <c r="J495" s="6">
        <v>665690</v>
      </c>
      <c r="K495" s="6">
        <v>1180</v>
      </c>
      <c r="L495" s="6">
        <v>0</v>
      </c>
      <c r="M495" s="6">
        <v>0</v>
      </c>
      <c r="N495" s="6">
        <v>150</v>
      </c>
      <c r="O495" s="6">
        <v>667020</v>
      </c>
      <c r="P495" s="2" t="s">
        <v>25</v>
      </c>
      <c r="Q495" s="2" t="s">
        <v>32</v>
      </c>
      <c r="R495" s="2" t="s">
        <v>652</v>
      </c>
      <c r="S495" s="5">
        <v>1</v>
      </c>
      <c r="T495" s="1">
        <v>0</v>
      </c>
      <c r="U495" s="2">
        <f>T495+S495</f>
        <v>1</v>
      </c>
      <c r="V495" s="1">
        <v>0</v>
      </c>
      <c r="W495" s="2">
        <f t="shared" si="97"/>
        <v>1</v>
      </c>
      <c r="X495" s="8">
        <f t="shared" si="94"/>
        <v>100</v>
      </c>
    </row>
    <row r="496" spans="1:24" ht="15" customHeight="1">
      <c r="A496" s="9">
        <v>46054</v>
      </c>
      <c r="B496" s="2" t="s">
        <v>45</v>
      </c>
      <c r="C496" s="2" t="s">
        <v>1036</v>
      </c>
      <c r="D496" s="2" t="s">
        <v>1482</v>
      </c>
      <c r="E496" s="2" t="s">
        <v>475</v>
      </c>
      <c r="F496" s="2" t="s">
        <v>823</v>
      </c>
      <c r="G496" s="2" t="s">
        <v>1088</v>
      </c>
      <c r="H496" s="2" t="s">
        <v>24</v>
      </c>
      <c r="I496" s="6">
        <v>29.84</v>
      </c>
      <c r="J496" s="6">
        <v>20261</v>
      </c>
      <c r="K496" s="6">
        <v>452770</v>
      </c>
      <c r="L496" s="6">
        <v>473094</v>
      </c>
      <c r="M496" s="6">
        <v>0</v>
      </c>
      <c r="N496" s="6">
        <v>63</v>
      </c>
      <c r="O496" s="6">
        <v>0</v>
      </c>
      <c r="P496" s="2" t="s">
        <v>25</v>
      </c>
      <c r="Q496" s="2" t="s">
        <v>32</v>
      </c>
      <c r="R496" s="2" t="s">
        <v>27</v>
      </c>
      <c r="S496" s="5">
        <v>1</v>
      </c>
      <c r="T496" s="1">
        <v>0</v>
      </c>
      <c r="U496" s="2">
        <f t="shared" si="95"/>
        <v>1</v>
      </c>
      <c r="V496" s="1">
        <v>0</v>
      </c>
      <c r="W496" s="2">
        <f t="shared" si="97"/>
        <v>1</v>
      </c>
      <c r="X496" s="8">
        <f t="shared" si="94"/>
        <v>100</v>
      </c>
    </row>
    <row r="497" spans="1:24" ht="15" customHeight="1">
      <c r="A497" s="9">
        <v>46054</v>
      </c>
      <c r="B497" s="2" t="s">
        <v>45</v>
      </c>
      <c r="C497" s="2" t="s">
        <v>1036</v>
      </c>
      <c r="D497" s="2" t="s">
        <v>1741</v>
      </c>
      <c r="E497" s="2" t="s">
        <v>60</v>
      </c>
      <c r="F497" s="2" t="s">
        <v>1742</v>
      </c>
      <c r="G497" s="2" t="s">
        <v>49</v>
      </c>
      <c r="H497" s="2" t="s">
        <v>24</v>
      </c>
      <c r="I497" s="6">
        <v>29.84</v>
      </c>
      <c r="J497" s="6">
        <v>162534</v>
      </c>
      <c r="K497" s="6">
        <v>2078</v>
      </c>
      <c r="L497" s="6">
        <v>0</v>
      </c>
      <c r="M497" s="6">
        <v>0</v>
      </c>
      <c r="N497" s="6">
        <v>242</v>
      </c>
      <c r="O497" s="6">
        <v>164854</v>
      </c>
      <c r="P497" s="2" t="s">
        <v>25</v>
      </c>
      <c r="Q497" s="2" t="s">
        <v>32</v>
      </c>
      <c r="R497" s="2" t="s">
        <v>50</v>
      </c>
      <c r="S497" s="5">
        <v>1</v>
      </c>
      <c r="T497" s="1">
        <v>0</v>
      </c>
      <c r="U497" s="2">
        <f>T497+S497</f>
        <v>1</v>
      </c>
      <c r="V497" s="1">
        <v>0</v>
      </c>
      <c r="W497" s="2">
        <f>V497+U497</f>
        <v>1</v>
      </c>
      <c r="X497" s="8">
        <f t="shared" si="94"/>
        <v>100</v>
      </c>
    </row>
    <row r="498" spans="1:24" ht="15" customHeight="1">
      <c r="A498" s="9">
        <v>46054</v>
      </c>
      <c r="B498" s="2" t="s">
        <v>867</v>
      </c>
      <c r="C498" s="2" t="s">
        <v>1036</v>
      </c>
      <c r="D498" s="2" t="s">
        <v>1089</v>
      </c>
      <c r="E498" s="2" t="s">
        <v>1090</v>
      </c>
      <c r="F498" s="2"/>
      <c r="G498" s="2"/>
      <c r="H498" s="2" t="s">
        <v>24</v>
      </c>
      <c r="I498" s="6">
        <v>14.92</v>
      </c>
      <c r="J498" s="6">
        <v>-212</v>
      </c>
      <c r="K498" s="6">
        <v>0</v>
      </c>
      <c r="L498" s="6">
        <v>0</v>
      </c>
      <c r="M498" s="6">
        <v>0</v>
      </c>
      <c r="N498" s="6">
        <v>0</v>
      </c>
      <c r="O498" s="6">
        <v>-212</v>
      </c>
      <c r="P498" s="2" t="s">
        <v>25</v>
      </c>
      <c r="Q498" s="2" t="s">
        <v>26</v>
      </c>
      <c r="R498" s="2" t="s">
        <v>27</v>
      </c>
      <c r="S498" s="5">
        <v>0</v>
      </c>
      <c r="T498" s="1">
        <v>0</v>
      </c>
      <c r="U498" s="2">
        <f>T498+S498</f>
        <v>0</v>
      </c>
      <c r="V498" s="1">
        <v>1</v>
      </c>
      <c r="W498" s="2">
        <f t="shared" ref="W498:W502" si="98">V498+U498</f>
        <v>1</v>
      </c>
      <c r="X498" s="8" t="e">
        <f t="shared" si="94"/>
        <v>#DIV/0!</v>
      </c>
    </row>
    <row r="499" spans="1:24" ht="15" customHeight="1">
      <c r="A499" s="9">
        <v>46054</v>
      </c>
      <c r="B499" s="2" t="s">
        <v>95</v>
      </c>
      <c r="C499" s="2" t="s">
        <v>1036</v>
      </c>
      <c r="D499" s="2" t="s">
        <v>1091</v>
      </c>
      <c r="E499" s="2" t="s">
        <v>475</v>
      </c>
      <c r="F499" s="2" t="s">
        <v>1040</v>
      </c>
      <c r="G499" s="2" t="s">
        <v>1092</v>
      </c>
      <c r="H499" s="2" t="s">
        <v>24</v>
      </c>
      <c r="I499" s="6">
        <v>22.38</v>
      </c>
      <c r="J499" s="6">
        <v>50</v>
      </c>
      <c r="K499" s="6">
        <v>1180</v>
      </c>
      <c r="L499" s="6">
        <v>1230</v>
      </c>
      <c r="M499" s="6">
        <v>0</v>
      </c>
      <c r="N499" s="6">
        <v>50</v>
      </c>
      <c r="O499" s="6">
        <v>50</v>
      </c>
      <c r="P499" s="2" t="s">
        <v>25</v>
      </c>
      <c r="Q499" s="2" t="s">
        <v>32</v>
      </c>
      <c r="R499" s="2" t="s">
        <v>27</v>
      </c>
      <c r="S499" s="5">
        <v>1</v>
      </c>
      <c r="T499" s="1">
        <v>0</v>
      </c>
      <c r="U499" s="2">
        <f t="shared" ref="U499:U501" si="99">T499+S499</f>
        <v>1</v>
      </c>
      <c r="V499" s="1">
        <v>0</v>
      </c>
      <c r="W499" s="2">
        <f t="shared" si="98"/>
        <v>1</v>
      </c>
      <c r="X499" s="8">
        <f t="shared" ref="X499" si="100">100/U499*S499</f>
        <v>100</v>
      </c>
    </row>
    <row r="500" spans="1:24" ht="15" customHeight="1">
      <c r="A500" s="9">
        <v>46054</v>
      </c>
      <c r="B500" s="2" t="s">
        <v>95</v>
      </c>
      <c r="C500" s="2" t="s">
        <v>1036</v>
      </c>
      <c r="D500" s="2" t="s">
        <v>1093</v>
      </c>
      <c r="E500" s="2" t="s">
        <v>475</v>
      </c>
      <c r="F500" s="2" t="s">
        <v>1094</v>
      </c>
      <c r="G500" s="2" t="s">
        <v>1083</v>
      </c>
      <c r="H500" s="2" t="s">
        <v>24</v>
      </c>
      <c r="I500" s="6">
        <v>22.38</v>
      </c>
      <c r="J500" s="6">
        <v>50</v>
      </c>
      <c r="K500" s="6">
        <v>1180</v>
      </c>
      <c r="L500" s="6">
        <v>1230</v>
      </c>
      <c r="M500" s="6">
        <v>0</v>
      </c>
      <c r="N500" s="6">
        <v>50</v>
      </c>
      <c r="O500" s="6">
        <v>50</v>
      </c>
      <c r="P500" s="2" t="s">
        <v>25</v>
      </c>
      <c r="Q500" s="2" t="s">
        <v>32</v>
      </c>
      <c r="R500" s="2" t="s">
        <v>27</v>
      </c>
      <c r="S500" s="5">
        <v>0</v>
      </c>
      <c r="T500" s="1">
        <v>1</v>
      </c>
      <c r="U500" s="2">
        <f t="shared" si="99"/>
        <v>1</v>
      </c>
      <c r="V500" s="1">
        <v>0</v>
      </c>
      <c r="W500" s="2">
        <f t="shared" si="98"/>
        <v>1</v>
      </c>
      <c r="X500" s="8">
        <v>0</v>
      </c>
    </row>
    <row r="501" spans="1:24" ht="15" customHeight="1">
      <c r="A501" s="9">
        <v>46054</v>
      </c>
      <c r="B501" s="2" t="s">
        <v>95</v>
      </c>
      <c r="C501" s="2" t="s">
        <v>1036</v>
      </c>
      <c r="D501" s="2" t="s">
        <v>1095</v>
      </c>
      <c r="E501" s="2" t="s">
        <v>475</v>
      </c>
      <c r="F501" s="2" t="s">
        <v>1096</v>
      </c>
      <c r="G501" s="2" t="s">
        <v>974</v>
      </c>
      <c r="H501" s="2" t="s">
        <v>24</v>
      </c>
      <c r="I501" s="6">
        <v>18.649999999999999</v>
      </c>
      <c r="J501" s="6">
        <v>50</v>
      </c>
      <c r="K501" s="6">
        <v>1180</v>
      </c>
      <c r="L501" s="6">
        <v>1230</v>
      </c>
      <c r="M501" s="6">
        <v>0</v>
      </c>
      <c r="N501" s="6">
        <v>50</v>
      </c>
      <c r="O501" s="6">
        <v>50</v>
      </c>
      <c r="P501" s="2" t="s">
        <v>25</v>
      </c>
      <c r="Q501" s="2" t="s">
        <v>32</v>
      </c>
      <c r="R501" s="2" t="s">
        <v>27</v>
      </c>
      <c r="S501" s="5">
        <v>0</v>
      </c>
      <c r="T501" s="1">
        <v>1</v>
      </c>
      <c r="U501" s="2">
        <f t="shared" si="99"/>
        <v>1</v>
      </c>
      <c r="V501" s="1">
        <v>0</v>
      </c>
      <c r="W501" s="2">
        <f t="shared" si="98"/>
        <v>1</v>
      </c>
      <c r="X501" s="8">
        <f t="shared" ref="X501" si="101">100/U501*S501</f>
        <v>0</v>
      </c>
    </row>
    <row r="502" spans="1:24" ht="15" customHeight="1">
      <c r="A502" s="9">
        <v>46054</v>
      </c>
      <c r="B502" s="2" t="s">
        <v>95</v>
      </c>
      <c r="C502" s="2" t="s">
        <v>1036</v>
      </c>
      <c r="D502" s="2" t="s">
        <v>1012</v>
      </c>
      <c r="E502" s="2" t="s">
        <v>475</v>
      </c>
      <c r="F502" s="2" t="s">
        <v>1097</v>
      </c>
      <c r="G502" s="2" t="s">
        <v>1055</v>
      </c>
      <c r="H502" s="2" t="s">
        <v>24</v>
      </c>
      <c r="I502" s="6">
        <v>22.38</v>
      </c>
      <c r="J502" s="6">
        <v>50</v>
      </c>
      <c r="K502" s="6">
        <v>1180</v>
      </c>
      <c r="L502" s="6">
        <v>1230</v>
      </c>
      <c r="M502" s="6">
        <v>0</v>
      </c>
      <c r="N502" s="6">
        <v>50</v>
      </c>
      <c r="O502" s="6">
        <v>50</v>
      </c>
      <c r="P502" s="2" t="s">
        <v>25</v>
      </c>
      <c r="Q502" s="2" t="s">
        <v>32</v>
      </c>
      <c r="R502" s="2" t="s">
        <v>27</v>
      </c>
      <c r="S502" s="5">
        <v>0</v>
      </c>
      <c r="T502" s="1">
        <v>1</v>
      </c>
      <c r="U502" s="2">
        <f>T502+S502</f>
        <v>1</v>
      </c>
      <c r="V502" s="1">
        <v>0</v>
      </c>
      <c r="W502" s="2">
        <f t="shared" si="98"/>
        <v>1</v>
      </c>
      <c r="X502" s="8">
        <v>0</v>
      </c>
    </row>
    <row r="503" spans="1:24">
      <c r="A503" s="9">
        <v>46054</v>
      </c>
      <c r="B503" s="2" t="s">
        <v>95</v>
      </c>
      <c r="C503" s="2" t="s">
        <v>1036</v>
      </c>
      <c r="D503" s="2" t="s">
        <v>1098</v>
      </c>
      <c r="E503" s="2" t="s">
        <v>475</v>
      </c>
      <c r="F503" s="2" t="s">
        <v>1066</v>
      </c>
      <c r="G503" s="2" t="s">
        <v>1099</v>
      </c>
      <c r="H503" s="2" t="s">
        <v>24</v>
      </c>
      <c r="I503" s="6">
        <v>22</v>
      </c>
      <c r="J503" s="6">
        <v>23077</v>
      </c>
      <c r="K503" s="6">
        <v>6031</v>
      </c>
      <c r="L503" s="6">
        <v>29108</v>
      </c>
      <c r="M503" s="6">
        <v>0</v>
      </c>
      <c r="N503" s="6">
        <v>50</v>
      </c>
      <c r="O503" s="6">
        <v>50</v>
      </c>
      <c r="P503" s="2" t="s">
        <v>25</v>
      </c>
      <c r="Q503" s="2" t="s">
        <v>32</v>
      </c>
      <c r="R503" s="2" t="s">
        <v>27</v>
      </c>
      <c r="S503" s="5">
        <v>1</v>
      </c>
      <c r="T503" s="1">
        <v>0</v>
      </c>
      <c r="U503" s="2">
        <f t="shared" ref="U503:U504" si="102">T503+S503</f>
        <v>1</v>
      </c>
      <c r="V503" s="1">
        <v>0</v>
      </c>
      <c r="W503" s="2">
        <f>V503+U503</f>
        <v>1</v>
      </c>
      <c r="X503" s="8">
        <f t="shared" ref="X503:X507" si="103">100/U503*S503</f>
        <v>100</v>
      </c>
    </row>
    <row r="504" spans="1:24" ht="15" customHeight="1">
      <c r="A504" s="9">
        <v>46054</v>
      </c>
      <c r="B504" s="2" t="s">
        <v>95</v>
      </c>
      <c r="C504" s="2" t="s">
        <v>1036</v>
      </c>
      <c r="D504" s="2" t="s">
        <v>1100</v>
      </c>
      <c r="E504" s="2" t="s">
        <v>475</v>
      </c>
      <c r="F504" s="2" t="s">
        <v>1101</v>
      </c>
      <c r="G504" s="2"/>
      <c r="H504" s="2" t="s">
        <v>24</v>
      </c>
      <c r="I504" s="6">
        <v>11.19</v>
      </c>
      <c r="J504" s="6">
        <v>3558</v>
      </c>
      <c r="K504" s="6">
        <v>2097</v>
      </c>
      <c r="L504" s="6">
        <v>5655</v>
      </c>
      <c r="M504" s="6">
        <v>0</v>
      </c>
      <c r="N504" s="6">
        <v>50</v>
      </c>
      <c r="O504" s="6">
        <v>50</v>
      </c>
      <c r="P504" s="2" t="s">
        <v>25</v>
      </c>
      <c r="Q504" s="2" t="s">
        <v>32</v>
      </c>
      <c r="R504" s="2" t="s">
        <v>27</v>
      </c>
      <c r="S504" s="5">
        <v>1</v>
      </c>
      <c r="T504" s="1">
        <v>0</v>
      </c>
      <c r="U504" s="2">
        <f t="shared" si="102"/>
        <v>1</v>
      </c>
      <c r="V504" s="1">
        <v>0</v>
      </c>
      <c r="W504" s="2">
        <f t="shared" ref="W504:W508" si="104">V504+U504</f>
        <v>1</v>
      </c>
      <c r="X504" s="8">
        <f t="shared" si="103"/>
        <v>100</v>
      </c>
    </row>
    <row r="505" spans="1:24" ht="15" customHeight="1">
      <c r="A505" s="9">
        <v>46054</v>
      </c>
      <c r="B505" s="2" t="s">
        <v>95</v>
      </c>
      <c r="C505" s="2" t="s">
        <v>1036</v>
      </c>
      <c r="D505" s="2" t="s">
        <v>1102</v>
      </c>
      <c r="E505" s="2" t="s">
        <v>475</v>
      </c>
      <c r="F505" s="2" t="s">
        <v>1103</v>
      </c>
      <c r="G505" s="2" t="s">
        <v>1104</v>
      </c>
      <c r="H505" s="2" t="s">
        <v>24</v>
      </c>
      <c r="I505" s="6">
        <v>22.4</v>
      </c>
      <c r="J505" s="6">
        <v>50</v>
      </c>
      <c r="K505" s="6">
        <v>1180</v>
      </c>
      <c r="L505" s="6">
        <v>1230</v>
      </c>
      <c r="M505" s="6">
        <v>0</v>
      </c>
      <c r="N505" s="6">
        <v>50</v>
      </c>
      <c r="O505" s="6">
        <v>50</v>
      </c>
      <c r="P505" s="2" t="s">
        <v>25</v>
      </c>
      <c r="Q505" s="2" t="s">
        <v>32</v>
      </c>
      <c r="R505" s="2" t="s">
        <v>27</v>
      </c>
      <c r="S505" s="5">
        <v>0</v>
      </c>
      <c r="T505" s="1">
        <v>1</v>
      </c>
      <c r="U505" s="2">
        <f>T505+S505</f>
        <v>1</v>
      </c>
      <c r="V505" s="1">
        <v>0</v>
      </c>
      <c r="W505" s="2">
        <f t="shared" si="104"/>
        <v>1</v>
      </c>
      <c r="X505" s="8">
        <f t="shared" si="103"/>
        <v>0</v>
      </c>
    </row>
    <row r="506" spans="1:24" ht="15" customHeight="1">
      <c r="A506" s="9">
        <v>46054</v>
      </c>
      <c r="B506" s="2" t="s">
        <v>95</v>
      </c>
      <c r="C506" s="2" t="s">
        <v>1036</v>
      </c>
      <c r="D506" s="2" t="s">
        <v>1105</v>
      </c>
      <c r="E506" s="2" t="s">
        <v>475</v>
      </c>
      <c r="F506" s="2" t="s">
        <v>1106</v>
      </c>
      <c r="G506" s="2" t="s">
        <v>1055</v>
      </c>
      <c r="H506" s="2" t="s">
        <v>24</v>
      </c>
      <c r="I506" s="6">
        <v>22.38</v>
      </c>
      <c r="J506" s="6">
        <v>50</v>
      </c>
      <c r="K506" s="6">
        <v>1180</v>
      </c>
      <c r="L506" s="6">
        <v>1230</v>
      </c>
      <c r="M506" s="6">
        <v>0</v>
      </c>
      <c r="N506" s="6">
        <v>50</v>
      </c>
      <c r="O506" s="6">
        <v>50</v>
      </c>
      <c r="P506" s="2" t="s">
        <v>25</v>
      </c>
      <c r="Q506" s="2" t="s">
        <v>32</v>
      </c>
      <c r="R506" s="2" t="s">
        <v>27</v>
      </c>
      <c r="S506" s="5">
        <v>0</v>
      </c>
      <c r="T506" s="1">
        <v>1</v>
      </c>
      <c r="U506" s="2">
        <f>T506+S506</f>
        <v>1</v>
      </c>
      <c r="V506" s="1">
        <v>0</v>
      </c>
      <c r="W506" s="2">
        <f t="shared" si="104"/>
        <v>1</v>
      </c>
      <c r="X506" s="8">
        <f t="shared" si="103"/>
        <v>0</v>
      </c>
    </row>
    <row r="507" spans="1:24" ht="15" customHeight="1">
      <c r="A507" s="9">
        <v>46054</v>
      </c>
      <c r="B507" s="2" t="s">
        <v>95</v>
      </c>
      <c r="C507" s="2" t="s">
        <v>1036</v>
      </c>
      <c r="D507" s="2" t="s">
        <v>1107</v>
      </c>
      <c r="E507" s="2" t="s">
        <v>475</v>
      </c>
      <c r="F507" s="2" t="s">
        <v>1108</v>
      </c>
      <c r="G507" s="2" t="s">
        <v>1055</v>
      </c>
      <c r="H507" s="2" t="s">
        <v>24</v>
      </c>
      <c r="I507" s="6">
        <v>22.38</v>
      </c>
      <c r="J507" s="6">
        <v>50</v>
      </c>
      <c r="K507" s="6">
        <v>1180</v>
      </c>
      <c r="L507" s="6">
        <v>1230</v>
      </c>
      <c r="M507" s="6">
        <v>0</v>
      </c>
      <c r="N507" s="6">
        <v>50</v>
      </c>
      <c r="O507" s="6">
        <v>50</v>
      </c>
      <c r="P507" s="2" t="s">
        <v>25</v>
      </c>
      <c r="Q507" s="2" t="s">
        <v>32</v>
      </c>
      <c r="R507" s="2" t="s">
        <v>27</v>
      </c>
      <c r="S507" s="5">
        <v>0</v>
      </c>
      <c r="T507" s="1">
        <v>1</v>
      </c>
      <c r="U507" s="2">
        <f t="shared" ref="U507:U511" si="105">T507+S507</f>
        <v>1</v>
      </c>
      <c r="V507" s="1">
        <v>0</v>
      </c>
      <c r="W507" s="2">
        <f t="shared" si="104"/>
        <v>1</v>
      </c>
      <c r="X507" s="8">
        <f t="shared" si="103"/>
        <v>0</v>
      </c>
    </row>
    <row r="508" spans="1:24" ht="15" customHeight="1">
      <c r="A508" s="9">
        <v>46054</v>
      </c>
      <c r="B508" s="2" t="s">
        <v>95</v>
      </c>
      <c r="C508" s="2" t="s">
        <v>1036</v>
      </c>
      <c r="D508" s="2" t="s">
        <v>1109</v>
      </c>
      <c r="E508" s="2" t="s">
        <v>475</v>
      </c>
      <c r="F508" s="2" t="s">
        <v>1110</v>
      </c>
      <c r="G508" s="2" t="s">
        <v>1055</v>
      </c>
      <c r="H508" s="2" t="s">
        <v>24</v>
      </c>
      <c r="I508" s="6">
        <v>22.38</v>
      </c>
      <c r="J508" s="6">
        <v>-9852</v>
      </c>
      <c r="K508" s="6">
        <v>1180</v>
      </c>
      <c r="L508" s="6">
        <v>0</v>
      </c>
      <c r="M508" s="6">
        <v>0</v>
      </c>
      <c r="N508" s="6">
        <v>0</v>
      </c>
      <c r="O508" s="6">
        <v>-8672</v>
      </c>
      <c r="P508" s="2" t="s">
        <v>25</v>
      </c>
      <c r="Q508" s="2" t="s">
        <v>32</v>
      </c>
      <c r="R508" s="2" t="s">
        <v>27</v>
      </c>
      <c r="S508" s="5">
        <v>1</v>
      </c>
      <c r="T508" s="1">
        <v>0</v>
      </c>
      <c r="U508" s="2">
        <f t="shared" si="105"/>
        <v>1</v>
      </c>
      <c r="V508" s="1">
        <v>0</v>
      </c>
      <c r="W508" s="2">
        <f t="shared" si="104"/>
        <v>1</v>
      </c>
      <c r="X508" s="8">
        <v>0</v>
      </c>
    </row>
    <row r="509" spans="1:24" ht="15" customHeight="1">
      <c r="A509" s="9">
        <v>46054</v>
      </c>
      <c r="B509" s="2" t="s">
        <v>95</v>
      </c>
      <c r="C509" s="2" t="s">
        <v>1036</v>
      </c>
      <c r="D509" s="2" t="s">
        <v>1111</v>
      </c>
      <c r="E509" s="2" t="s">
        <v>475</v>
      </c>
      <c r="F509" s="2" t="s">
        <v>1112</v>
      </c>
      <c r="G509" s="2" t="s">
        <v>1113</v>
      </c>
      <c r="H509" s="2" t="s">
        <v>24</v>
      </c>
      <c r="I509" s="6">
        <v>22.38</v>
      </c>
      <c r="J509" s="6">
        <v>50</v>
      </c>
      <c r="K509" s="6">
        <v>1180</v>
      </c>
      <c r="L509" s="6">
        <v>1230</v>
      </c>
      <c r="M509" s="6">
        <v>0</v>
      </c>
      <c r="N509" s="6">
        <v>50</v>
      </c>
      <c r="O509" s="6">
        <v>50</v>
      </c>
      <c r="P509" s="2" t="s">
        <v>25</v>
      </c>
      <c r="Q509" s="2" t="s">
        <v>32</v>
      </c>
      <c r="R509" s="2" t="s">
        <v>27</v>
      </c>
      <c r="S509" s="5">
        <v>1</v>
      </c>
      <c r="T509" s="1">
        <v>0</v>
      </c>
      <c r="U509" s="2">
        <f t="shared" si="105"/>
        <v>1</v>
      </c>
      <c r="V509" s="1">
        <v>0</v>
      </c>
      <c r="W509" s="2">
        <f>V509+U509</f>
        <v>1</v>
      </c>
      <c r="X509" s="8">
        <f t="shared" ref="X509:X516" si="106">100/U509*S509</f>
        <v>100</v>
      </c>
    </row>
    <row r="510" spans="1:24" ht="15" customHeight="1">
      <c r="A510" s="9">
        <v>46054</v>
      </c>
      <c r="B510" s="2" t="s">
        <v>95</v>
      </c>
      <c r="C510" s="2" t="s">
        <v>1036</v>
      </c>
      <c r="D510" s="2" t="s">
        <v>1114</v>
      </c>
      <c r="E510" s="2" t="s">
        <v>475</v>
      </c>
      <c r="F510" s="2" t="s">
        <v>1066</v>
      </c>
      <c r="G510" s="2" t="s">
        <v>65</v>
      </c>
      <c r="H510" s="2" t="s">
        <v>24</v>
      </c>
      <c r="I510" s="6">
        <v>20</v>
      </c>
      <c r="J510" s="6">
        <v>50</v>
      </c>
      <c r="K510" s="6">
        <v>1180</v>
      </c>
      <c r="L510" s="6">
        <v>1230</v>
      </c>
      <c r="M510" s="6">
        <v>0</v>
      </c>
      <c r="N510" s="6">
        <v>50</v>
      </c>
      <c r="O510" s="6">
        <v>50</v>
      </c>
      <c r="P510" s="2" t="s">
        <v>25</v>
      </c>
      <c r="Q510" s="2" t="s">
        <v>32</v>
      </c>
      <c r="R510" s="2" t="s">
        <v>27</v>
      </c>
      <c r="S510" s="5">
        <v>1</v>
      </c>
      <c r="T510" s="1">
        <v>0</v>
      </c>
      <c r="U510" s="2">
        <f t="shared" si="105"/>
        <v>1</v>
      </c>
      <c r="V510" s="1">
        <v>0</v>
      </c>
      <c r="W510" s="2">
        <f t="shared" ref="W510:W514" si="107">V510+U510</f>
        <v>1</v>
      </c>
      <c r="X510" s="8">
        <f t="shared" si="106"/>
        <v>100</v>
      </c>
    </row>
    <row r="511" spans="1:24" ht="15" customHeight="1">
      <c r="A511" s="9">
        <v>46054</v>
      </c>
      <c r="B511" s="2" t="s">
        <v>95</v>
      </c>
      <c r="C511" s="2" t="s">
        <v>1036</v>
      </c>
      <c r="D511" s="2" t="s">
        <v>1115</v>
      </c>
      <c r="E511" s="2" t="s">
        <v>475</v>
      </c>
      <c r="F511" s="2" t="s">
        <v>1116</v>
      </c>
      <c r="G511" s="2" t="s">
        <v>1117</v>
      </c>
      <c r="H511" s="2" t="s">
        <v>24</v>
      </c>
      <c r="I511" s="6">
        <v>22.38</v>
      </c>
      <c r="J511" s="6">
        <v>4378</v>
      </c>
      <c r="K511" s="6">
        <v>112125</v>
      </c>
      <c r="L511" s="6">
        <v>116503</v>
      </c>
      <c r="M511" s="6">
        <v>0</v>
      </c>
      <c r="N511" s="6">
        <v>4654</v>
      </c>
      <c r="O511" s="6">
        <v>4654</v>
      </c>
      <c r="P511" s="2" t="s">
        <v>25</v>
      </c>
      <c r="Q511" s="2" t="s">
        <v>32</v>
      </c>
      <c r="R511" s="2" t="s">
        <v>50</v>
      </c>
      <c r="S511" s="5">
        <v>1</v>
      </c>
      <c r="T511" s="1">
        <v>0</v>
      </c>
      <c r="U511" s="2">
        <f t="shared" si="105"/>
        <v>1</v>
      </c>
      <c r="V511" s="1">
        <v>0</v>
      </c>
      <c r="W511" s="2">
        <f t="shared" si="107"/>
        <v>1</v>
      </c>
      <c r="X511" s="8">
        <f t="shared" si="106"/>
        <v>100</v>
      </c>
    </row>
    <row r="512" spans="1:24" ht="15" customHeight="1">
      <c r="A512" s="9">
        <v>46054</v>
      </c>
      <c r="B512" s="2" t="s">
        <v>95</v>
      </c>
      <c r="C512" s="2" t="s">
        <v>1036</v>
      </c>
      <c r="D512" s="2" t="s">
        <v>1118</v>
      </c>
      <c r="E512" s="2" t="s">
        <v>475</v>
      </c>
      <c r="F512" s="2" t="s">
        <v>1119</v>
      </c>
      <c r="G512" s="2" t="s">
        <v>1120</v>
      </c>
      <c r="H512" s="2" t="s">
        <v>24</v>
      </c>
      <c r="I512" s="6">
        <v>22.38</v>
      </c>
      <c r="J512" s="6">
        <v>8577</v>
      </c>
      <c r="K512" s="6">
        <v>2256</v>
      </c>
      <c r="L512" s="6">
        <v>10833</v>
      </c>
      <c r="M512" s="6">
        <v>0</v>
      </c>
      <c r="N512" s="6">
        <v>50</v>
      </c>
      <c r="O512" s="6">
        <v>50</v>
      </c>
      <c r="P512" s="2" t="s">
        <v>25</v>
      </c>
      <c r="Q512" s="2" t="s">
        <v>32</v>
      </c>
      <c r="R512" s="2" t="s">
        <v>27</v>
      </c>
      <c r="S512" s="5">
        <v>1</v>
      </c>
      <c r="T512" s="1">
        <v>0</v>
      </c>
      <c r="U512" s="2">
        <f>T512+S512</f>
        <v>1</v>
      </c>
      <c r="V512" s="1">
        <v>0</v>
      </c>
      <c r="W512" s="2">
        <f t="shared" si="107"/>
        <v>1</v>
      </c>
      <c r="X512" s="8">
        <f t="shared" si="106"/>
        <v>100</v>
      </c>
    </row>
    <row r="513" spans="1:24" ht="15" customHeight="1">
      <c r="A513" s="9">
        <v>46054</v>
      </c>
      <c r="B513" s="2" t="s">
        <v>95</v>
      </c>
      <c r="C513" s="2" t="s">
        <v>1036</v>
      </c>
      <c r="D513" s="2" t="s">
        <v>1121</v>
      </c>
      <c r="E513" s="2" t="s">
        <v>475</v>
      </c>
      <c r="F513" s="2" t="s">
        <v>1122</v>
      </c>
      <c r="G513" s="2" t="s">
        <v>1123</v>
      </c>
      <c r="H513" s="2" t="s">
        <v>24</v>
      </c>
      <c r="I513" s="6">
        <v>20</v>
      </c>
      <c r="J513" s="6">
        <v>20354</v>
      </c>
      <c r="K513" s="6">
        <v>373112</v>
      </c>
      <c r="L513" s="6">
        <v>393466</v>
      </c>
      <c r="M513" s="6">
        <v>0</v>
      </c>
      <c r="N513" s="6">
        <v>15474</v>
      </c>
      <c r="O513" s="6">
        <v>15474</v>
      </c>
      <c r="P513" s="2" t="s">
        <v>25</v>
      </c>
      <c r="Q513" s="2" t="s">
        <v>32</v>
      </c>
      <c r="R513" s="2" t="s">
        <v>27</v>
      </c>
      <c r="S513" s="5">
        <v>1</v>
      </c>
      <c r="T513" s="1">
        <v>0</v>
      </c>
      <c r="U513" s="2">
        <f t="shared" ref="U513" si="108">T513+S513</f>
        <v>1</v>
      </c>
      <c r="V513" s="1">
        <v>0</v>
      </c>
      <c r="W513" s="2">
        <f t="shared" si="107"/>
        <v>1</v>
      </c>
      <c r="X513" s="8">
        <f t="shared" si="106"/>
        <v>100</v>
      </c>
    </row>
    <row r="514" spans="1:24" ht="15" customHeight="1">
      <c r="A514" s="9">
        <v>46054</v>
      </c>
      <c r="B514" s="2" t="s">
        <v>95</v>
      </c>
      <c r="C514" s="2" t="s">
        <v>1036</v>
      </c>
      <c r="D514" s="2" t="s">
        <v>1124</v>
      </c>
      <c r="E514" s="2" t="s">
        <v>475</v>
      </c>
      <c r="F514" s="2" t="s">
        <v>1125</v>
      </c>
      <c r="G514" s="2" t="s">
        <v>65</v>
      </c>
      <c r="H514" s="2" t="s">
        <v>24</v>
      </c>
      <c r="I514" s="6">
        <v>22.38</v>
      </c>
      <c r="J514" s="6">
        <v>13862</v>
      </c>
      <c r="K514" s="6">
        <v>114072</v>
      </c>
      <c r="L514" s="6">
        <v>127934</v>
      </c>
      <c r="M514" s="6">
        <v>0</v>
      </c>
      <c r="N514" s="6">
        <v>4654</v>
      </c>
      <c r="O514" s="6">
        <v>4654</v>
      </c>
      <c r="P514" s="2" t="s">
        <v>25</v>
      </c>
      <c r="Q514" s="2" t="s">
        <v>32</v>
      </c>
      <c r="R514" s="2" t="s">
        <v>27</v>
      </c>
      <c r="S514" s="5">
        <v>1</v>
      </c>
      <c r="T514" s="1">
        <v>0</v>
      </c>
      <c r="U514" s="2">
        <f>T514+S514</f>
        <v>1</v>
      </c>
      <c r="V514" s="1">
        <v>0</v>
      </c>
      <c r="W514" s="2">
        <f t="shared" si="107"/>
        <v>1</v>
      </c>
      <c r="X514" s="8">
        <f t="shared" si="106"/>
        <v>100</v>
      </c>
    </row>
    <row r="515" spans="1:24" ht="15" customHeight="1">
      <c r="A515" s="9">
        <v>46054</v>
      </c>
      <c r="B515" s="2" t="s">
        <v>95</v>
      </c>
      <c r="C515" s="2" t="s">
        <v>1036</v>
      </c>
      <c r="D515" s="2" t="s">
        <v>1126</v>
      </c>
      <c r="E515" s="2" t="s">
        <v>475</v>
      </c>
      <c r="F515" s="2" t="s">
        <v>1127</v>
      </c>
      <c r="G515" s="2" t="s">
        <v>65</v>
      </c>
      <c r="H515" s="2" t="s">
        <v>24</v>
      </c>
      <c r="I515" s="6">
        <v>11.19</v>
      </c>
      <c r="J515" s="6">
        <v>1583</v>
      </c>
      <c r="K515" s="6">
        <v>26195</v>
      </c>
      <c r="L515" s="6">
        <v>27778</v>
      </c>
      <c r="M515" s="6">
        <v>0</v>
      </c>
      <c r="N515" s="6">
        <v>1077</v>
      </c>
      <c r="O515" s="6">
        <v>1077</v>
      </c>
      <c r="P515" s="2" t="s">
        <v>25</v>
      </c>
      <c r="Q515" s="2" t="s">
        <v>32</v>
      </c>
      <c r="R515" s="2" t="s">
        <v>27</v>
      </c>
      <c r="S515" s="5">
        <v>1</v>
      </c>
      <c r="T515" s="1">
        <v>0</v>
      </c>
      <c r="U515" s="2">
        <f t="shared" ref="U515:U517" si="109">T515+S515</f>
        <v>1</v>
      </c>
      <c r="V515" s="1">
        <v>0</v>
      </c>
      <c r="W515" s="2">
        <f t="shared" ref="W515:W536" si="110">V515+U515</f>
        <v>1</v>
      </c>
      <c r="X515" s="8">
        <f t="shared" si="106"/>
        <v>100</v>
      </c>
    </row>
    <row r="516" spans="1:24" ht="15" customHeight="1">
      <c r="A516" s="9">
        <v>46054</v>
      </c>
      <c r="B516" s="2" t="s">
        <v>95</v>
      </c>
      <c r="C516" s="2" t="s">
        <v>1036</v>
      </c>
      <c r="D516" s="2" t="s">
        <v>1128</v>
      </c>
      <c r="E516" s="2" t="s">
        <v>60</v>
      </c>
      <c r="F516" s="2" t="s">
        <v>1129</v>
      </c>
      <c r="G516" s="2" t="s">
        <v>65</v>
      </c>
      <c r="H516" s="2" t="s">
        <v>24</v>
      </c>
      <c r="I516" s="6">
        <v>22.38</v>
      </c>
      <c r="J516" s="6">
        <v>50</v>
      </c>
      <c r="K516" s="6">
        <v>1180</v>
      </c>
      <c r="L516" s="6">
        <v>1230</v>
      </c>
      <c r="M516" s="6">
        <v>0</v>
      </c>
      <c r="N516" s="6">
        <v>50</v>
      </c>
      <c r="O516" s="6">
        <v>50</v>
      </c>
      <c r="P516" s="2" t="s">
        <v>25</v>
      </c>
      <c r="Q516" s="2" t="s">
        <v>32</v>
      </c>
      <c r="R516" s="2" t="s">
        <v>652</v>
      </c>
      <c r="S516" s="5">
        <v>1</v>
      </c>
      <c r="T516" s="1">
        <v>0</v>
      </c>
      <c r="U516" s="2">
        <f t="shared" si="109"/>
        <v>1</v>
      </c>
      <c r="V516" s="1">
        <v>0</v>
      </c>
      <c r="W516" s="2">
        <f t="shared" si="110"/>
        <v>1</v>
      </c>
      <c r="X516" s="8">
        <f t="shared" si="106"/>
        <v>100</v>
      </c>
    </row>
    <row r="517" spans="1:24" ht="15" customHeight="1">
      <c r="A517" s="9">
        <v>46054</v>
      </c>
      <c r="B517" s="2" t="s">
        <v>95</v>
      </c>
      <c r="C517" s="2" t="s">
        <v>1036</v>
      </c>
      <c r="D517" s="2" t="s">
        <v>1620</v>
      </c>
      <c r="E517" s="2" t="s">
        <v>60</v>
      </c>
      <c r="F517" s="2" t="s">
        <v>1621</v>
      </c>
      <c r="G517" s="2" t="s">
        <v>65</v>
      </c>
      <c r="H517" s="2" t="s">
        <v>24</v>
      </c>
      <c r="I517" s="6">
        <v>22.38</v>
      </c>
      <c r="J517" s="6">
        <v>50</v>
      </c>
      <c r="K517" s="6">
        <v>1180</v>
      </c>
      <c r="L517" s="6">
        <v>1230</v>
      </c>
      <c r="M517" s="6">
        <v>0</v>
      </c>
      <c r="N517" s="6">
        <v>50</v>
      </c>
      <c r="O517" s="6">
        <v>50</v>
      </c>
      <c r="P517" s="2" t="s">
        <v>25</v>
      </c>
      <c r="Q517" s="2" t="s">
        <v>32</v>
      </c>
      <c r="R517" s="2" t="s">
        <v>50</v>
      </c>
      <c r="S517" s="5">
        <v>0</v>
      </c>
      <c r="T517" s="1">
        <v>1</v>
      </c>
      <c r="U517" s="2">
        <f t="shared" si="109"/>
        <v>1</v>
      </c>
      <c r="V517" s="1">
        <v>0</v>
      </c>
      <c r="W517" s="2">
        <f t="shared" si="110"/>
        <v>1</v>
      </c>
      <c r="X517" s="8">
        <f t="shared" ref="X517:X537" si="111">100/U517*S517</f>
        <v>0</v>
      </c>
    </row>
    <row r="518" spans="1:24" ht="15" customHeight="1">
      <c r="A518" s="9">
        <v>46054</v>
      </c>
      <c r="B518" s="2" t="s">
        <v>95</v>
      </c>
      <c r="C518" s="2" t="s">
        <v>1036</v>
      </c>
      <c r="D518" s="2" t="s">
        <v>1640</v>
      </c>
      <c r="E518" s="2" t="s">
        <v>767</v>
      </c>
      <c r="F518" s="2" t="s">
        <v>1641</v>
      </c>
      <c r="G518" s="2" t="s">
        <v>1642</v>
      </c>
      <c r="H518" s="2" t="s">
        <v>24</v>
      </c>
      <c r="I518" s="6">
        <v>22.38</v>
      </c>
      <c r="J518" s="6">
        <v>2958</v>
      </c>
      <c r="K518" s="6">
        <v>102199</v>
      </c>
      <c r="L518" s="6">
        <v>105157</v>
      </c>
      <c r="M518" s="6">
        <v>0</v>
      </c>
      <c r="N518" s="6">
        <v>4256</v>
      </c>
      <c r="O518" s="6">
        <v>4256</v>
      </c>
      <c r="P518" s="2" t="s">
        <v>25</v>
      </c>
      <c r="Q518" s="2" t="s">
        <v>32</v>
      </c>
      <c r="R518" s="2" t="s">
        <v>50</v>
      </c>
      <c r="S518" s="5">
        <v>1</v>
      </c>
      <c r="T518" s="1">
        <v>0</v>
      </c>
      <c r="U518" s="2">
        <f>T518+S518</f>
        <v>1</v>
      </c>
      <c r="V518" s="1">
        <v>0</v>
      </c>
      <c r="W518" s="2">
        <f t="shared" si="110"/>
        <v>1</v>
      </c>
      <c r="X518" s="8">
        <f t="shared" si="111"/>
        <v>100</v>
      </c>
    </row>
    <row r="519" spans="1:24" ht="15" customHeight="1">
      <c r="A519" s="9">
        <v>46054</v>
      </c>
      <c r="B519" s="2" t="s">
        <v>95</v>
      </c>
      <c r="C519" s="2" t="s">
        <v>1036</v>
      </c>
      <c r="D519" s="2" t="s">
        <v>1130</v>
      </c>
      <c r="E519" s="2" t="s">
        <v>475</v>
      </c>
      <c r="F519" s="2" t="s">
        <v>1131</v>
      </c>
      <c r="G519" s="2" t="s">
        <v>65</v>
      </c>
      <c r="H519" s="2" t="s">
        <v>24</v>
      </c>
      <c r="I519" s="6">
        <v>14.95</v>
      </c>
      <c r="J519" s="6">
        <v>39209</v>
      </c>
      <c r="K519" s="6">
        <v>6744</v>
      </c>
      <c r="L519" s="6">
        <v>45953</v>
      </c>
      <c r="M519" s="6">
        <v>0</v>
      </c>
      <c r="N519" s="6">
        <v>50</v>
      </c>
      <c r="O519" s="6">
        <v>50</v>
      </c>
      <c r="P519" s="2" t="s">
        <v>25</v>
      </c>
      <c r="Q519" s="2" t="s">
        <v>32</v>
      </c>
      <c r="R519" s="2" t="s">
        <v>27</v>
      </c>
      <c r="S519" s="5">
        <v>1</v>
      </c>
      <c r="T519" s="1">
        <v>0</v>
      </c>
      <c r="U519" s="2">
        <f>T519+S519</f>
        <v>1</v>
      </c>
      <c r="V519" s="1">
        <v>0</v>
      </c>
      <c r="W519" s="2">
        <f t="shared" si="110"/>
        <v>1</v>
      </c>
      <c r="X519" s="8">
        <f t="shared" si="111"/>
        <v>100</v>
      </c>
    </row>
    <row r="520" spans="1:24" ht="15" customHeight="1">
      <c r="A520" s="9">
        <v>46054</v>
      </c>
      <c r="B520" s="2" t="s">
        <v>95</v>
      </c>
      <c r="C520" s="2" t="s">
        <v>1036</v>
      </c>
      <c r="D520" s="2" t="s">
        <v>1132</v>
      </c>
      <c r="E520" s="2" t="s">
        <v>722</v>
      </c>
      <c r="F520" s="2" t="s">
        <v>1133</v>
      </c>
      <c r="G520" s="2" t="s">
        <v>1134</v>
      </c>
      <c r="H520" s="2" t="s">
        <v>24</v>
      </c>
      <c r="I520" s="6">
        <v>22.38</v>
      </c>
      <c r="J520" s="6">
        <v>50</v>
      </c>
      <c r="K520" s="6">
        <v>1180</v>
      </c>
      <c r="L520" s="6">
        <v>1230</v>
      </c>
      <c r="M520" s="6">
        <v>0</v>
      </c>
      <c r="N520" s="6">
        <v>50</v>
      </c>
      <c r="O520" s="6">
        <v>50</v>
      </c>
      <c r="P520" s="2" t="s">
        <v>25</v>
      </c>
      <c r="Q520" s="2" t="s">
        <v>32</v>
      </c>
      <c r="R520" s="2" t="s">
        <v>50</v>
      </c>
      <c r="S520" s="5">
        <v>1</v>
      </c>
      <c r="T520" s="1">
        <v>0</v>
      </c>
      <c r="U520" s="2">
        <f t="shared" ref="U520:U524" si="112">T520+S520</f>
        <v>1</v>
      </c>
      <c r="V520" s="1">
        <v>0</v>
      </c>
      <c r="W520" s="2">
        <f t="shared" si="110"/>
        <v>1</v>
      </c>
      <c r="X520" s="8">
        <f t="shared" si="111"/>
        <v>100</v>
      </c>
    </row>
    <row r="521" spans="1:24" ht="15" customHeight="1">
      <c r="A521" s="9">
        <v>46054</v>
      </c>
      <c r="B521" s="2" t="s">
        <v>95</v>
      </c>
      <c r="C521" s="2" t="s">
        <v>1036</v>
      </c>
      <c r="D521" s="2" t="s">
        <v>1135</v>
      </c>
      <c r="E521" s="2" t="s">
        <v>475</v>
      </c>
      <c r="F521" s="2" t="s">
        <v>1136</v>
      </c>
      <c r="G521" s="2" t="s">
        <v>1137</v>
      </c>
      <c r="H521" s="2" t="s">
        <v>24</v>
      </c>
      <c r="I521" s="6">
        <v>18.649999999999999</v>
      </c>
      <c r="J521" s="6">
        <v>18752</v>
      </c>
      <c r="K521" s="6">
        <v>3261</v>
      </c>
      <c r="L521" s="6">
        <v>22013</v>
      </c>
      <c r="M521" s="6">
        <v>0</v>
      </c>
      <c r="N521" s="6">
        <v>50</v>
      </c>
      <c r="O521" s="6">
        <v>50</v>
      </c>
      <c r="P521" s="2" t="s">
        <v>25</v>
      </c>
      <c r="Q521" s="2" t="s">
        <v>32</v>
      </c>
      <c r="R521" s="2" t="s">
        <v>27</v>
      </c>
      <c r="S521" s="5">
        <v>1</v>
      </c>
      <c r="T521" s="1">
        <v>0</v>
      </c>
      <c r="U521" s="2">
        <f t="shared" si="112"/>
        <v>1</v>
      </c>
      <c r="V521" s="1">
        <v>0</v>
      </c>
      <c r="W521" s="2">
        <f t="shared" si="110"/>
        <v>1</v>
      </c>
      <c r="X521" s="8">
        <f t="shared" si="111"/>
        <v>100</v>
      </c>
    </row>
    <row r="522" spans="1:24" ht="15" customHeight="1">
      <c r="A522" s="9">
        <v>46054</v>
      </c>
      <c r="B522" s="2" t="s">
        <v>95</v>
      </c>
      <c r="C522" s="2" t="s">
        <v>1036</v>
      </c>
      <c r="D522" s="2" t="s">
        <v>1138</v>
      </c>
      <c r="E522" s="2" t="s">
        <v>475</v>
      </c>
      <c r="F522" s="2" t="s">
        <v>1139</v>
      </c>
      <c r="G522" s="2" t="s">
        <v>530</v>
      </c>
      <c r="H522" s="2" t="s">
        <v>24</v>
      </c>
      <c r="I522" s="6">
        <v>18.649999999999999</v>
      </c>
      <c r="J522" s="6">
        <v>11929</v>
      </c>
      <c r="K522" s="6">
        <v>285064</v>
      </c>
      <c r="L522" s="6">
        <v>296993</v>
      </c>
      <c r="M522" s="6">
        <v>0</v>
      </c>
      <c r="N522" s="6">
        <v>11836</v>
      </c>
      <c r="O522" s="6">
        <v>11836</v>
      </c>
      <c r="P522" s="2" t="s">
        <v>25</v>
      </c>
      <c r="Q522" s="2" t="s">
        <v>32</v>
      </c>
      <c r="R522" s="2" t="s">
        <v>27</v>
      </c>
      <c r="S522" s="5">
        <v>0</v>
      </c>
      <c r="T522" s="1">
        <v>1</v>
      </c>
      <c r="U522" s="2">
        <f t="shared" si="112"/>
        <v>1</v>
      </c>
      <c r="V522" s="1">
        <v>0</v>
      </c>
      <c r="W522" s="2">
        <f t="shared" si="110"/>
        <v>1</v>
      </c>
      <c r="X522" s="8">
        <f t="shared" si="111"/>
        <v>0</v>
      </c>
    </row>
    <row r="523" spans="1:24" ht="15" customHeight="1">
      <c r="A523" s="9">
        <v>46054</v>
      </c>
      <c r="B523" s="2" t="s">
        <v>95</v>
      </c>
      <c r="C523" s="2" t="s">
        <v>1036</v>
      </c>
      <c r="D523" s="2" t="s">
        <v>1140</v>
      </c>
      <c r="E523" s="2" t="s">
        <v>475</v>
      </c>
      <c r="F523" s="2" t="s">
        <v>1141</v>
      </c>
      <c r="G523" s="2" t="s">
        <v>1142</v>
      </c>
      <c r="H523" s="2" t="s">
        <v>24</v>
      </c>
      <c r="I523" s="6">
        <v>14.92</v>
      </c>
      <c r="J523" s="6">
        <v>50</v>
      </c>
      <c r="K523" s="6">
        <v>1180</v>
      </c>
      <c r="L523" s="6">
        <v>1230</v>
      </c>
      <c r="M523" s="6">
        <v>0</v>
      </c>
      <c r="N523" s="6">
        <v>50</v>
      </c>
      <c r="O523" s="6">
        <v>50</v>
      </c>
      <c r="P523" s="2" t="s">
        <v>25</v>
      </c>
      <c r="Q523" s="2" t="s">
        <v>32</v>
      </c>
      <c r="R523" s="2" t="s">
        <v>27</v>
      </c>
      <c r="S523" s="5">
        <v>1</v>
      </c>
      <c r="T523" s="1">
        <v>0</v>
      </c>
      <c r="U523" s="2">
        <f t="shared" si="112"/>
        <v>1</v>
      </c>
      <c r="V523" s="1">
        <v>0</v>
      </c>
      <c r="W523" s="2">
        <f t="shared" si="110"/>
        <v>1</v>
      </c>
      <c r="X523" s="8">
        <f t="shared" si="111"/>
        <v>100</v>
      </c>
    </row>
    <row r="524" spans="1:24" ht="15" customHeight="1">
      <c r="A524" s="9">
        <v>46054</v>
      </c>
      <c r="B524" s="2" t="s">
        <v>95</v>
      </c>
      <c r="C524" s="2" t="s">
        <v>1036</v>
      </c>
      <c r="D524" s="2" t="s">
        <v>1143</v>
      </c>
      <c r="E524" s="2" t="s">
        <v>475</v>
      </c>
      <c r="F524" s="2" t="s">
        <v>1144</v>
      </c>
      <c r="G524" s="2" t="s">
        <v>65</v>
      </c>
      <c r="H524" s="2" t="s">
        <v>24</v>
      </c>
      <c r="I524" s="6">
        <v>22.38</v>
      </c>
      <c r="J524" s="6">
        <v>7481</v>
      </c>
      <c r="K524" s="6">
        <v>2255</v>
      </c>
      <c r="L524" s="6">
        <v>9736</v>
      </c>
      <c r="M524" s="6">
        <v>0</v>
      </c>
      <c r="N524" s="6">
        <v>50</v>
      </c>
      <c r="O524" s="6">
        <v>50</v>
      </c>
      <c r="P524" s="2" t="s">
        <v>25</v>
      </c>
      <c r="Q524" s="2" t="s">
        <v>32</v>
      </c>
      <c r="R524" s="2" t="s">
        <v>27</v>
      </c>
      <c r="S524" s="5">
        <v>1</v>
      </c>
      <c r="T524" s="1">
        <v>0</v>
      </c>
      <c r="U524" s="2">
        <f t="shared" si="112"/>
        <v>1</v>
      </c>
      <c r="V524" s="1">
        <v>0</v>
      </c>
      <c r="W524" s="2">
        <f t="shared" si="110"/>
        <v>1</v>
      </c>
      <c r="X524" s="8">
        <f t="shared" si="111"/>
        <v>100</v>
      </c>
    </row>
    <row r="525" spans="1:24" ht="15" customHeight="1">
      <c r="A525" s="9">
        <v>46054</v>
      </c>
      <c r="B525" s="2" t="s">
        <v>18</v>
      </c>
      <c r="C525" s="2" t="s">
        <v>1145</v>
      </c>
      <c r="D525" s="2" t="s">
        <v>1483</v>
      </c>
      <c r="E525" s="2" t="s">
        <v>1484</v>
      </c>
      <c r="F525" s="2" t="s">
        <v>1485</v>
      </c>
      <c r="G525" s="2" t="s">
        <v>1486</v>
      </c>
      <c r="H525" s="2" t="s">
        <v>24</v>
      </c>
      <c r="I525" s="6">
        <v>2.8</v>
      </c>
      <c r="J525" s="6">
        <v>113421</v>
      </c>
      <c r="K525" s="6">
        <v>1180</v>
      </c>
      <c r="L525" s="6">
        <v>0</v>
      </c>
      <c r="M525" s="6">
        <v>0</v>
      </c>
      <c r="N525" s="6">
        <v>100</v>
      </c>
      <c r="O525" s="6">
        <v>114701</v>
      </c>
      <c r="P525" s="2" t="s">
        <v>31</v>
      </c>
      <c r="Q525" s="2" t="s">
        <v>32</v>
      </c>
      <c r="R525" s="2" t="s">
        <v>33</v>
      </c>
      <c r="S525" s="5">
        <v>0</v>
      </c>
      <c r="T525" s="1">
        <v>1</v>
      </c>
      <c r="U525" s="2">
        <f>T525+S525</f>
        <v>1</v>
      </c>
      <c r="V525" s="1">
        <v>0</v>
      </c>
      <c r="W525" s="2">
        <f t="shared" si="110"/>
        <v>1</v>
      </c>
      <c r="X525" s="8">
        <f t="shared" si="111"/>
        <v>0</v>
      </c>
    </row>
    <row r="526" spans="1:24" ht="15" customHeight="1">
      <c r="A526" s="9">
        <v>46054</v>
      </c>
      <c r="B526" s="2" t="s">
        <v>18</v>
      </c>
      <c r="C526" s="2" t="s">
        <v>1145</v>
      </c>
      <c r="D526" s="2" t="s">
        <v>1487</v>
      </c>
      <c r="E526" s="2" t="s">
        <v>1146</v>
      </c>
      <c r="F526" s="2" t="s">
        <v>1488</v>
      </c>
      <c r="G526" s="2" t="s">
        <v>1147</v>
      </c>
      <c r="H526" s="2" t="s">
        <v>24</v>
      </c>
      <c r="I526" s="6">
        <v>3</v>
      </c>
      <c r="J526" s="6">
        <v>6</v>
      </c>
      <c r="K526" s="6">
        <v>0</v>
      </c>
      <c r="L526" s="6">
        <v>0</v>
      </c>
      <c r="M526" s="6">
        <v>0</v>
      </c>
      <c r="N526" s="6">
        <v>0</v>
      </c>
      <c r="O526" s="6">
        <v>6</v>
      </c>
      <c r="P526" s="2" t="s">
        <v>31</v>
      </c>
      <c r="Q526" s="2" t="s">
        <v>26</v>
      </c>
      <c r="R526" s="2" t="s">
        <v>33</v>
      </c>
      <c r="S526" s="5">
        <v>0</v>
      </c>
      <c r="T526" s="1">
        <v>0</v>
      </c>
      <c r="U526" s="2">
        <f t="shared" ref="U526:U528" si="113">T526+S526</f>
        <v>0</v>
      </c>
      <c r="V526" s="1">
        <v>1</v>
      </c>
      <c r="W526" s="2">
        <f t="shared" si="110"/>
        <v>1</v>
      </c>
      <c r="X526" s="8" t="e">
        <f t="shared" si="111"/>
        <v>#DIV/0!</v>
      </c>
    </row>
    <row r="527" spans="1:24" ht="15" customHeight="1">
      <c r="A527" s="9">
        <v>46054</v>
      </c>
      <c r="B527" s="2" t="s">
        <v>18</v>
      </c>
      <c r="C527" s="2" t="s">
        <v>1145</v>
      </c>
      <c r="D527" s="2" t="s">
        <v>1489</v>
      </c>
      <c r="E527" s="2" t="s">
        <v>1146</v>
      </c>
      <c r="F527" s="2" t="s">
        <v>1490</v>
      </c>
      <c r="G527" s="2" t="s">
        <v>1491</v>
      </c>
      <c r="H527" s="2" t="s">
        <v>24</v>
      </c>
      <c r="I527" s="6">
        <v>3</v>
      </c>
      <c r="J527" s="6">
        <v>6</v>
      </c>
      <c r="K527" s="6">
        <v>0</v>
      </c>
      <c r="L527" s="6">
        <v>0</v>
      </c>
      <c r="M527" s="6">
        <v>0</v>
      </c>
      <c r="N527" s="6">
        <v>0</v>
      </c>
      <c r="O527" s="6">
        <v>6</v>
      </c>
      <c r="P527" s="2" t="s">
        <v>31</v>
      </c>
      <c r="Q527" s="2" t="s">
        <v>26</v>
      </c>
      <c r="R527" s="2" t="s">
        <v>33</v>
      </c>
      <c r="S527" s="5">
        <v>0</v>
      </c>
      <c r="T527" s="1">
        <v>0</v>
      </c>
      <c r="U527" s="2">
        <f t="shared" si="113"/>
        <v>0</v>
      </c>
      <c r="V527" s="1">
        <v>1</v>
      </c>
      <c r="W527" s="2">
        <f t="shared" si="110"/>
        <v>1</v>
      </c>
      <c r="X527" s="8" t="e">
        <f t="shared" si="111"/>
        <v>#DIV/0!</v>
      </c>
    </row>
    <row r="528" spans="1:24" ht="15" customHeight="1">
      <c r="A528" s="9">
        <v>46054</v>
      </c>
      <c r="B528" s="2" t="s">
        <v>18</v>
      </c>
      <c r="C528" s="2" t="s">
        <v>1145</v>
      </c>
      <c r="D528" s="2" t="s">
        <v>1148</v>
      </c>
      <c r="E528" s="2" t="s">
        <v>1146</v>
      </c>
      <c r="F528" s="2" t="s">
        <v>1149</v>
      </c>
      <c r="G528" s="2" t="s">
        <v>1150</v>
      </c>
      <c r="H528" s="2" t="s">
        <v>24</v>
      </c>
      <c r="I528" s="6">
        <v>3</v>
      </c>
      <c r="J528" s="6">
        <v>6</v>
      </c>
      <c r="K528" s="6">
        <v>0</v>
      </c>
      <c r="L528" s="6">
        <v>0</v>
      </c>
      <c r="M528" s="6">
        <v>0</v>
      </c>
      <c r="N528" s="6">
        <v>0</v>
      </c>
      <c r="O528" s="6">
        <v>6</v>
      </c>
      <c r="P528" s="2" t="s">
        <v>31</v>
      </c>
      <c r="Q528" s="2" t="s">
        <v>26</v>
      </c>
      <c r="R528" s="2" t="s">
        <v>33</v>
      </c>
      <c r="S528" s="5">
        <v>0</v>
      </c>
      <c r="T528" s="1">
        <v>0</v>
      </c>
      <c r="U528" s="2">
        <f t="shared" si="113"/>
        <v>0</v>
      </c>
      <c r="V528" s="1">
        <v>1</v>
      </c>
      <c r="W528" s="2">
        <f t="shared" si="110"/>
        <v>1</v>
      </c>
      <c r="X528" s="8" t="e">
        <f t="shared" si="111"/>
        <v>#DIV/0!</v>
      </c>
    </row>
    <row r="529" spans="1:24" ht="15" customHeight="1">
      <c r="A529" s="9">
        <v>46054</v>
      </c>
      <c r="B529" s="2" t="s">
        <v>18</v>
      </c>
      <c r="C529" s="2" t="s">
        <v>1145</v>
      </c>
      <c r="D529" s="2" t="s">
        <v>1492</v>
      </c>
      <c r="E529" s="2" t="s">
        <v>1146</v>
      </c>
      <c r="F529" s="2" t="s">
        <v>1493</v>
      </c>
      <c r="G529" s="2" t="s">
        <v>1150</v>
      </c>
      <c r="H529" s="2" t="s">
        <v>24</v>
      </c>
      <c r="I529" s="6">
        <v>3</v>
      </c>
      <c r="J529" s="6">
        <v>110032</v>
      </c>
      <c r="K529" s="6">
        <v>1180</v>
      </c>
      <c r="L529" s="6">
        <v>0</v>
      </c>
      <c r="M529" s="6">
        <v>0</v>
      </c>
      <c r="N529" s="6">
        <v>100</v>
      </c>
      <c r="O529" s="6">
        <v>111312</v>
      </c>
      <c r="P529" s="2" t="s">
        <v>31</v>
      </c>
      <c r="Q529" s="2" t="s">
        <v>32</v>
      </c>
      <c r="R529" s="2" t="s">
        <v>33</v>
      </c>
      <c r="S529" s="5">
        <v>0</v>
      </c>
      <c r="T529" s="1">
        <v>1</v>
      </c>
      <c r="U529" s="2">
        <f>T529+S529</f>
        <v>1</v>
      </c>
      <c r="V529" s="1">
        <v>0</v>
      </c>
      <c r="W529" s="2">
        <f t="shared" si="110"/>
        <v>1</v>
      </c>
      <c r="X529" s="8">
        <f t="shared" si="111"/>
        <v>0</v>
      </c>
    </row>
    <row r="530" spans="1:24" ht="15" customHeight="1">
      <c r="A530" s="9">
        <v>46054</v>
      </c>
      <c r="B530" s="2" t="s">
        <v>18</v>
      </c>
      <c r="C530" s="2" t="s">
        <v>1145</v>
      </c>
      <c r="D530" s="2" t="s">
        <v>1494</v>
      </c>
      <c r="E530" s="2" t="s">
        <v>1495</v>
      </c>
      <c r="F530" s="2" t="s">
        <v>1496</v>
      </c>
      <c r="G530" s="2" t="s">
        <v>1497</v>
      </c>
      <c r="H530" s="2" t="s">
        <v>24</v>
      </c>
      <c r="I530" s="6">
        <v>3</v>
      </c>
      <c r="J530" s="6">
        <v>6</v>
      </c>
      <c r="K530" s="6">
        <v>0</v>
      </c>
      <c r="L530" s="6">
        <v>0</v>
      </c>
      <c r="M530" s="6">
        <v>0</v>
      </c>
      <c r="N530" s="6">
        <v>0</v>
      </c>
      <c r="O530" s="6">
        <v>6</v>
      </c>
      <c r="P530" s="2" t="s">
        <v>31</v>
      </c>
      <c r="Q530" s="2" t="s">
        <v>26</v>
      </c>
      <c r="R530" s="2" t="s">
        <v>33</v>
      </c>
      <c r="S530" s="5">
        <v>0</v>
      </c>
      <c r="T530" s="1">
        <v>0</v>
      </c>
      <c r="U530" s="2">
        <f t="shared" ref="U530:U534" si="114">T530+S530</f>
        <v>0</v>
      </c>
      <c r="V530" s="1">
        <v>1</v>
      </c>
      <c r="W530" s="2">
        <f t="shared" si="110"/>
        <v>1</v>
      </c>
      <c r="X530" s="8" t="e">
        <f t="shared" si="111"/>
        <v>#DIV/0!</v>
      </c>
    </row>
    <row r="531" spans="1:24" ht="15" customHeight="1">
      <c r="A531" s="9">
        <v>46054</v>
      </c>
      <c r="B531" s="2" t="s">
        <v>18</v>
      </c>
      <c r="C531" s="2" t="s">
        <v>1145</v>
      </c>
      <c r="D531" s="2" t="s">
        <v>1498</v>
      </c>
      <c r="E531" s="2" t="s">
        <v>1146</v>
      </c>
      <c r="F531" s="2" t="s">
        <v>1499</v>
      </c>
      <c r="G531" s="2" t="s">
        <v>1147</v>
      </c>
      <c r="H531" s="2" t="s">
        <v>24</v>
      </c>
      <c r="I531" s="6">
        <v>3</v>
      </c>
      <c r="J531" s="6">
        <v>3252</v>
      </c>
      <c r="K531" s="6">
        <v>0</v>
      </c>
      <c r="L531" s="6">
        <v>0</v>
      </c>
      <c r="M531" s="6">
        <v>0</v>
      </c>
      <c r="N531" s="6">
        <v>0</v>
      </c>
      <c r="O531" s="6">
        <v>3252</v>
      </c>
      <c r="P531" s="2" t="s">
        <v>31</v>
      </c>
      <c r="Q531" s="2" t="s">
        <v>26</v>
      </c>
      <c r="R531" s="2" t="s">
        <v>33</v>
      </c>
      <c r="S531" s="5">
        <v>0</v>
      </c>
      <c r="T531" s="1">
        <v>0</v>
      </c>
      <c r="U531" s="2">
        <f t="shared" si="114"/>
        <v>0</v>
      </c>
      <c r="V531" s="1">
        <v>1</v>
      </c>
      <c r="W531" s="2">
        <f t="shared" si="110"/>
        <v>1</v>
      </c>
      <c r="X531" s="8" t="e">
        <f t="shared" si="111"/>
        <v>#DIV/0!</v>
      </c>
    </row>
    <row r="532" spans="1:24" ht="15" customHeight="1">
      <c r="A532" s="9">
        <v>46054</v>
      </c>
      <c r="B532" s="2" t="s">
        <v>18</v>
      </c>
      <c r="C532" s="2" t="s">
        <v>1145</v>
      </c>
      <c r="D532" s="2" t="s">
        <v>1500</v>
      </c>
      <c r="E532" s="2" t="s">
        <v>1146</v>
      </c>
      <c r="F532" s="2" t="s">
        <v>1501</v>
      </c>
      <c r="G532" s="2" t="s">
        <v>1502</v>
      </c>
      <c r="H532" s="2" t="s">
        <v>24</v>
      </c>
      <c r="I532" s="6">
        <v>3</v>
      </c>
      <c r="J532" s="6">
        <v>6</v>
      </c>
      <c r="K532" s="6">
        <v>0</v>
      </c>
      <c r="L532" s="6">
        <v>0</v>
      </c>
      <c r="M532" s="6">
        <v>0</v>
      </c>
      <c r="N532" s="6">
        <v>0</v>
      </c>
      <c r="O532" s="6">
        <v>6</v>
      </c>
      <c r="P532" s="2" t="s">
        <v>31</v>
      </c>
      <c r="Q532" s="2" t="s">
        <v>26</v>
      </c>
      <c r="R532" s="2" t="s">
        <v>33</v>
      </c>
      <c r="S532" s="5">
        <v>0</v>
      </c>
      <c r="T532" s="1">
        <v>0</v>
      </c>
      <c r="U532" s="2">
        <f t="shared" si="114"/>
        <v>0</v>
      </c>
      <c r="V532" s="1">
        <v>1</v>
      </c>
      <c r="W532" s="2">
        <f t="shared" si="110"/>
        <v>1</v>
      </c>
      <c r="X532" s="8" t="e">
        <f t="shared" si="111"/>
        <v>#DIV/0!</v>
      </c>
    </row>
    <row r="533" spans="1:24" ht="15" customHeight="1">
      <c r="A533" s="9">
        <v>46054</v>
      </c>
      <c r="B533" s="2" t="s">
        <v>18</v>
      </c>
      <c r="C533" s="2" t="s">
        <v>1145</v>
      </c>
      <c r="D533" s="2" t="s">
        <v>1503</v>
      </c>
      <c r="E533" s="2" t="s">
        <v>1146</v>
      </c>
      <c r="F533" s="2" t="s">
        <v>1504</v>
      </c>
      <c r="G533" s="2" t="s">
        <v>1505</v>
      </c>
      <c r="H533" s="2" t="s">
        <v>24</v>
      </c>
      <c r="I533" s="6">
        <v>3</v>
      </c>
      <c r="J533" s="6">
        <v>6</v>
      </c>
      <c r="K533" s="6">
        <v>0</v>
      </c>
      <c r="L533" s="6">
        <v>0</v>
      </c>
      <c r="M533" s="6">
        <v>0</v>
      </c>
      <c r="N533" s="6">
        <v>0</v>
      </c>
      <c r="O533" s="6">
        <v>6</v>
      </c>
      <c r="P533" s="2" t="s">
        <v>31</v>
      </c>
      <c r="Q533" s="2" t="s">
        <v>26</v>
      </c>
      <c r="R533" s="2" t="s">
        <v>33</v>
      </c>
      <c r="S533" s="5">
        <v>0</v>
      </c>
      <c r="T533" s="1">
        <v>0</v>
      </c>
      <c r="U533" s="2">
        <f t="shared" si="114"/>
        <v>0</v>
      </c>
      <c r="V533" s="1">
        <v>1</v>
      </c>
      <c r="W533" s="2">
        <f t="shared" si="110"/>
        <v>1</v>
      </c>
      <c r="X533" s="8" t="e">
        <f t="shared" si="111"/>
        <v>#DIV/0!</v>
      </c>
    </row>
    <row r="534" spans="1:24" ht="15" customHeight="1">
      <c r="A534" s="9">
        <v>46054</v>
      </c>
      <c r="B534" s="2" t="s">
        <v>18</v>
      </c>
      <c r="C534" s="2" t="s">
        <v>1145</v>
      </c>
      <c r="D534" s="2" t="s">
        <v>1151</v>
      </c>
      <c r="E534" s="2" t="s">
        <v>1146</v>
      </c>
      <c r="F534" s="2" t="s">
        <v>1152</v>
      </c>
      <c r="G534" s="2" t="s">
        <v>1147</v>
      </c>
      <c r="H534" s="2" t="s">
        <v>24</v>
      </c>
      <c r="I534" s="6">
        <v>3</v>
      </c>
      <c r="J534" s="6">
        <v>6</v>
      </c>
      <c r="K534" s="6">
        <v>0</v>
      </c>
      <c r="L534" s="6">
        <v>0</v>
      </c>
      <c r="M534" s="6">
        <v>0</v>
      </c>
      <c r="N534" s="6">
        <v>0</v>
      </c>
      <c r="O534" s="6">
        <v>6</v>
      </c>
      <c r="P534" s="2" t="s">
        <v>31</v>
      </c>
      <c r="Q534" s="2" t="s">
        <v>26</v>
      </c>
      <c r="R534" s="2" t="s">
        <v>33</v>
      </c>
      <c r="S534" s="5">
        <v>0</v>
      </c>
      <c r="T534" s="1">
        <v>0</v>
      </c>
      <c r="U534" s="2">
        <f t="shared" si="114"/>
        <v>0</v>
      </c>
      <c r="V534" s="1">
        <v>1</v>
      </c>
      <c r="W534" s="2">
        <f t="shared" si="110"/>
        <v>1</v>
      </c>
      <c r="X534" s="8" t="e">
        <f t="shared" si="111"/>
        <v>#DIV/0!</v>
      </c>
    </row>
    <row r="535" spans="1:24" ht="15" customHeight="1">
      <c r="A535" s="9">
        <v>46054</v>
      </c>
      <c r="B535" s="2" t="s">
        <v>18</v>
      </c>
      <c r="C535" s="2" t="s">
        <v>1145</v>
      </c>
      <c r="D535" s="2" t="s">
        <v>1506</v>
      </c>
      <c r="E535" s="2" t="s">
        <v>1146</v>
      </c>
      <c r="F535" s="2" t="s">
        <v>1507</v>
      </c>
      <c r="G535" s="2" t="s">
        <v>1505</v>
      </c>
      <c r="H535" s="2" t="s">
        <v>24</v>
      </c>
      <c r="I535" s="6">
        <v>3</v>
      </c>
      <c r="J535" s="6">
        <v>134782</v>
      </c>
      <c r="K535" s="6">
        <v>1180</v>
      </c>
      <c r="L535" s="6">
        <v>0</v>
      </c>
      <c r="M535" s="6">
        <v>0</v>
      </c>
      <c r="N535" s="6">
        <v>100</v>
      </c>
      <c r="O535" s="6">
        <v>136062</v>
      </c>
      <c r="P535" s="2" t="s">
        <v>31</v>
      </c>
      <c r="Q535" s="2" t="s">
        <v>32</v>
      </c>
      <c r="R535" s="2" t="s">
        <v>1349</v>
      </c>
      <c r="S535" s="5">
        <v>0</v>
      </c>
      <c r="T535" s="1">
        <v>1</v>
      </c>
      <c r="U535" s="2">
        <f>T535+S535</f>
        <v>1</v>
      </c>
      <c r="V535" s="1">
        <v>0</v>
      </c>
      <c r="W535" s="2">
        <f t="shared" si="110"/>
        <v>1</v>
      </c>
      <c r="X535" s="8">
        <f t="shared" si="111"/>
        <v>0</v>
      </c>
    </row>
    <row r="536" spans="1:24" ht="15" customHeight="1">
      <c r="A536" s="9">
        <v>46054</v>
      </c>
      <c r="B536" s="2" t="s">
        <v>18</v>
      </c>
      <c r="C536" s="2" t="s">
        <v>1145</v>
      </c>
      <c r="D536" s="2" t="s">
        <v>1508</v>
      </c>
      <c r="E536" s="2" t="s">
        <v>1509</v>
      </c>
      <c r="F536" s="2" t="s">
        <v>1510</v>
      </c>
      <c r="G536" s="2" t="s">
        <v>23</v>
      </c>
      <c r="H536" s="2" t="s">
        <v>24</v>
      </c>
      <c r="I536" s="6">
        <v>1</v>
      </c>
      <c r="J536" s="6">
        <v>0</v>
      </c>
      <c r="K536" s="6">
        <v>0</v>
      </c>
      <c r="L536" s="6">
        <v>0</v>
      </c>
      <c r="M536" s="6">
        <v>0</v>
      </c>
      <c r="N536" s="6">
        <v>0</v>
      </c>
      <c r="O536" s="6">
        <v>0</v>
      </c>
      <c r="P536" s="2" t="s">
        <v>31</v>
      </c>
      <c r="Q536" s="2" t="s">
        <v>26</v>
      </c>
      <c r="R536" s="2" t="s">
        <v>33</v>
      </c>
      <c r="S536" s="5">
        <v>0</v>
      </c>
      <c r="T536" s="1">
        <v>0</v>
      </c>
      <c r="U536" s="2">
        <f t="shared" ref="U536:U540" si="115">T536+S536</f>
        <v>0</v>
      </c>
      <c r="V536" s="1">
        <v>1</v>
      </c>
      <c r="W536" s="2">
        <f t="shared" si="110"/>
        <v>1</v>
      </c>
      <c r="X536" s="8" t="e">
        <f t="shared" si="111"/>
        <v>#DIV/0!</v>
      </c>
    </row>
    <row r="537" spans="1:24" ht="15" customHeight="1">
      <c r="A537" s="9">
        <v>46054</v>
      </c>
      <c r="B537" s="2" t="s">
        <v>18</v>
      </c>
      <c r="C537" s="2" t="s">
        <v>1145</v>
      </c>
      <c r="D537" s="2" t="s">
        <v>1511</v>
      </c>
      <c r="E537" s="2" t="s">
        <v>1512</v>
      </c>
      <c r="F537" s="2" t="s">
        <v>1513</v>
      </c>
      <c r="G537" s="2" t="s">
        <v>1514</v>
      </c>
      <c r="H537" s="2" t="s">
        <v>24</v>
      </c>
      <c r="I537" s="6">
        <v>29.84</v>
      </c>
      <c r="J537" s="6">
        <v>632</v>
      </c>
      <c r="K537" s="6">
        <v>0</v>
      </c>
      <c r="L537" s="6">
        <v>0</v>
      </c>
      <c r="M537" s="6">
        <v>0</v>
      </c>
      <c r="N537" s="6">
        <v>0</v>
      </c>
      <c r="O537" s="6">
        <v>632</v>
      </c>
      <c r="P537" s="2" t="s">
        <v>25</v>
      </c>
      <c r="Q537" s="2" t="s">
        <v>26</v>
      </c>
      <c r="R537" s="2" t="s">
        <v>27</v>
      </c>
      <c r="S537" s="5">
        <v>0</v>
      </c>
      <c r="T537" s="1">
        <v>0</v>
      </c>
      <c r="U537" s="2">
        <f t="shared" si="115"/>
        <v>0</v>
      </c>
      <c r="V537" s="1">
        <v>1</v>
      </c>
      <c r="W537" s="2">
        <f>V537+U537</f>
        <v>1</v>
      </c>
      <c r="X537" s="8" t="e">
        <f t="shared" si="111"/>
        <v>#DIV/0!</v>
      </c>
    </row>
    <row r="538" spans="1:24" ht="15" customHeight="1">
      <c r="A538" s="9">
        <v>46054</v>
      </c>
      <c r="B538" s="2" t="s">
        <v>45</v>
      </c>
      <c r="C538" s="2" t="s">
        <v>1145</v>
      </c>
      <c r="D538" s="2" t="s">
        <v>1515</v>
      </c>
      <c r="E538" s="2" t="s">
        <v>475</v>
      </c>
      <c r="F538" s="2" t="s">
        <v>1516</v>
      </c>
      <c r="G538" s="2" t="s">
        <v>1517</v>
      </c>
      <c r="H538" s="2" t="s">
        <v>24</v>
      </c>
      <c r="I538" s="6">
        <v>0</v>
      </c>
      <c r="J538" s="6">
        <v>-7486</v>
      </c>
      <c r="K538" s="6">
        <v>0</v>
      </c>
      <c r="L538" s="6">
        <v>0</v>
      </c>
      <c r="M538" s="6">
        <v>0</v>
      </c>
      <c r="N538" s="6">
        <v>0</v>
      </c>
      <c r="O538" s="6">
        <v>-7486</v>
      </c>
      <c r="P538" s="2" t="s">
        <v>25</v>
      </c>
      <c r="Q538" s="2" t="s">
        <v>26</v>
      </c>
      <c r="R538" s="2" t="s">
        <v>27</v>
      </c>
      <c r="S538" s="5">
        <v>0</v>
      </c>
      <c r="T538" s="1">
        <v>0</v>
      </c>
      <c r="U538" s="2">
        <f t="shared" si="115"/>
        <v>0</v>
      </c>
      <c r="V538" s="1">
        <v>1</v>
      </c>
      <c r="W538" s="2">
        <f t="shared" ref="W538:W577" si="116">V538+U538</f>
        <v>1</v>
      </c>
      <c r="X538" s="8" t="e">
        <f t="shared" ref="X538:X577" si="117">100/U538*S538</f>
        <v>#DIV/0!</v>
      </c>
    </row>
    <row r="539" spans="1:24" ht="15" customHeight="1">
      <c r="A539" s="9">
        <v>46054</v>
      </c>
      <c r="B539" s="2" t="s">
        <v>45</v>
      </c>
      <c r="C539" s="2" t="s">
        <v>1145</v>
      </c>
      <c r="D539" s="2" t="s">
        <v>1518</v>
      </c>
      <c r="E539" s="2" t="s">
        <v>1153</v>
      </c>
      <c r="F539" s="2" t="s">
        <v>529</v>
      </c>
      <c r="G539" s="2" t="s">
        <v>1154</v>
      </c>
      <c r="H539" s="2" t="s">
        <v>531</v>
      </c>
      <c r="I539" s="6">
        <v>15</v>
      </c>
      <c r="J539" s="6">
        <v>167715</v>
      </c>
      <c r="K539" s="6">
        <v>0</v>
      </c>
      <c r="L539" s="6">
        <v>0</v>
      </c>
      <c r="M539" s="6">
        <v>0</v>
      </c>
      <c r="N539" s="6">
        <v>0</v>
      </c>
      <c r="O539" s="6">
        <v>167715</v>
      </c>
      <c r="P539" s="2" t="s">
        <v>31</v>
      </c>
      <c r="Q539" s="2" t="s">
        <v>26</v>
      </c>
      <c r="R539" s="2" t="s">
        <v>532</v>
      </c>
      <c r="S539" s="5">
        <v>0</v>
      </c>
      <c r="T539" s="1">
        <v>0</v>
      </c>
      <c r="U539" s="2">
        <f t="shared" si="115"/>
        <v>0</v>
      </c>
      <c r="V539" s="1">
        <v>1</v>
      </c>
      <c r="W539" s="2">
        <f t="shared" si="116"/>
        <v>1</v>
      </c>
      <c r="X539" s="8" t="e">
        <f t="shared" si="117"/>
        <v>#DIV/0!</v>
      </c>
    </row>
    <row r="540" spans="1:24" ht="15" customHeight="1">
      <c r="A540" s="9">
        <v>46054</v>
      </c>
      <c r="B540" s="2" t="s">
        <v>45</v>
      </c>
      <c r="C540" s="2" t="s">
        <v>1145</v>
      </c>
      <c r="D540" s="2" t="s">
        <v>1155</v>
      </c>
      <c r="E540" s="2" t="s">
        <v>1153</v>
      </c>
      <c r="F540" s="2" t="s">
        <v>529</v>
      </c>
      <c r="G540" s="2" t="s">
        <v>1154</v>
      </c>
      <c r="H540" s="2" t="s">
        <v>531</v>
      </c>
      <c r="I540" s="6">
        <v>10</v>
      </c>
      <c r="J540" s="6">
        <v>130445</v>
      </c>
      <c r="K540" s="6">
        <v>0</v>
      </c>
      <c r="L540" s="6">
        <v>0</v>
      </c>
      <c r="M540" s="6">
        <v>0</v>
      </c>
      <c r="N540" s="6">
        <v>0</v>
      </c>
      <c r="O540" s="6">
        <v>130445</v>
      </c>
      <c r="P540" s="2" t="s">
        <v>31</v>
      </c>
      <c r="Q540" s="2" t="s">
        <v>26</v>
      </c>
      <c r="R540" s="2" t="s">
        <v>532</v>
      </c>
      <c r="S540" s="5">
        <v>0</v>
      </c>
      <c r="T540" s="1">
        <v>0</v>
      </c>
      <c r="U540" s="2">
        <f t="shared" si="115"/>
        <v>0</v>
      </c>
      <c r="V540" s="1">
        <v>1</v>
      </c>
      <c r="W540" s="2">
        <f t="shared" si="116"/>
        <v>1</v>
      </c>
      <c r="X540" s="8" t="e">
        <f t="shared" si="117"/>
        <v>#DIV/0!</v>
      </c>
    </row>
    <row r="541" spans="1:24" ht="15" customHeight="1">
      <c r="A541" s="9">
        <v>46054</v>
      </c>
      <c r="B541" s="2" t="s">
        <v>45</v>
      </c>
      <c r="C541" s="2" t="s">
        <v>1145</v>
      </c>
      <c r="D541" s="2" t="s">
        <v>1519</v>
      </c>
      <c r="E541" s="2" t="s">
        <v>1520</v>
      </c>
      <c r="F541" s="2" t="s">
        <v>1521</v>
      </c>
      <c r="G541" s="2" t="s">
        <v>1522</v>
      </c>
      <c r="H541" s="2" t="s">
        <v>24</v>
      </c>
      <c r="I541" s="6">
        <v>1000</v>
      </c>
      <c r="J541" s="6">
        <v>1797280</v>
      </c>
      <c r="K541" s="6">
        <v>381376</v>
      </c>
      <c r="L541" s="6">
        <v>0</v>
      </c>
      <c r="M541" s="6">
        <v>0</v>
      </c>
      <c r="N541" s="6">
        <v>31642</v>
      </c>
      <c r="O541" s="6">
        <v>2210298</v>
      </c>
      <c r="P541" s="2" t="s">
        <v>25</v>
      </c>
      <c r="Q541" s="2" t="s">
        <v>32</v>
      </c>
      <c r="R541" s="2" t="s">
        <v>50</v>
      </c>
      <c r="S541" s="5">
        <v>1</v>
      </c>
      <c r="T541" s="1">
        <v>0</v>
      </c>
      <c r="U541" s="2">
        <f>T541+S541</f>
        <v>1</v>
      </c>
      <c r="V541" s="1">
        <v>0</v>
      </c>
      <c r="W541" s="2">
        <f t="shared" si="116"/>
        <v>1</v>
      </c>
      <c r="X541" s="8">
        <f t="shared" si="117"/>
        <v>100</v>
      </c>
    </row>
    <row r="542" spans="1:24" ht="15" customHeight="1">
      <c r="A542" s="9">
        <v>46054</v>
      </c>
      <c r="B542" s="2" t="s">
        <v>867</v>
      </c>
      <c r="C542" s="2" t="s">
        <v>1145</v>
      </c>
      <c r="D542" s="2" t="s">
        <v>1523</v>
      </c>
      <c r="E542" s="2" t="s">
        <v>930</v>
      </c>
      <c r="F542" s="2" t="s">
        <v>1524</v>
      </c>
      <c r="G542" s="2"/>
      <c r="H542" s="2" t="s">
        <v>24</v>
      </c>
      <c r="I542" s="6">
        <v>29.86</v>
      </c>
      <c r="J542" s="6">
        <v>-95</v>
      </c>
      <c r="K542" s="6">
        <v>0</v>
      </c>
      <c r="L542" s="6">
        <v>0</v>
      </c>
      <c r="M542" s="6">
        <v>0</v>
      </c>
      <c r="N542" s="6">
        <v>0</v>
      </c>
      <c r="O542" s="6">
        <v>-95</v>
      </c>
      <c r="P542" s="2" t="s">
        <v>31</v>
      </c>
      <c r="Q542" s="2" t="s">
        <v>26</v>
      </c>
      <c r="R542" s="2" t="s">
        <v>66</v>
      </c>
      <c r="S542" s="5">
        <v>0</v>
      </c>
      <c r="T542" s="1">
        <v>0</v>
      </c>
      <c r="U542" s="2">
        <f t="shared" ref="U542:U548" si="118">T542+S542</f>
        <v>0</v>
      </c>
      <c r="V542" s="1">
        <v>1</v>
      </c>
      <c r="W542" s="2">
        <f t="shared" si="116"/>
        <v>1</v>
      </c>
      <c r="X542" s="8" t="e">
        <f t="shared" si="117"/>
        <v>#DIV/0!</v>
      </c>
    </row>
    <row r="543" spans="1:24" ht="15" customHeight="1">
      <c r="A543" s="9">
        <v>46054</v>
      </c>
      <c r="B543" s="2" t="s">
        <v>867</v>
      </c>
      <c r="C543" s="2" t="s">
        <v>1145</v>
      </c>
      <c r="D543" s="2" t="s">
        <v>1525</v>
      </c>
      <c r="E543" s="2" t="s">
        <v>1526</v>
      </c>
      <c r="F543" s="2" t="s">
        <v>1517</v>
      </c>
      <c r="G543" s="2"/>
      <c r="H543" s="2" t="s">
        <v>24</v>
      </c>
      <c r="I543" s="6">
        <v>2</v>
      </c>
      <c r="J543" s="6">
        <v>-18</v>
      </c>
      <c r="K543" s="6">
        <v>0</v>
      </c>
      <c r="L543" s="6">
        <v>0</v>
      </c>
      <c r="M543" s="6">
        <v>0</v>
      </c>
      <c r="N543" s="6">
        <v>0</v>
      </c>
      <c r="O543" s="6">
        <v>-18</v>
      </c>
      <c r="P543" s="2" t="s">
        <v>31</v>
      </c>
      <c r="Q543" s="2" t="s">
        <v>26</v>
      </c>
      <c r="R543" s="2" t="s">
        <v>66</v>
      </c>
      <c r="S543" s="5">
        <v>0</v>
      </c>
      <c r="T543" s="1">
        <v>0</v>
      </c>
      <c r="U543" s="2">
        <f t="shared" si="118"/>
        <v>0</v>
      </c>
      <c r="V543" s="1">
        <v>1</v>
      </c>
      <c r="W543" s="2">
        <f t="shared" si="116"/>
        <v>1</v>
      </c>
      <c r="X543" s="8" t="e">
        <f t="shared" si="117"/>
        <v>#DIV/0!</v>
      </c>
    </row>
    <row r="544" spans="1:24" ht="15" customHeight="1">
      <c r="A544" s="9">
        <v>46054</v>
      </c>
      <c r="B544" s="2" t="s">
        <v>867</v>
      </c>
      <c r="C544" s="2" t="s">
        <v>1145</v>
      </c>
      <c r="D544" s="2" t="s">
        <v>1527</v>
      </c>
      <c r="E544" s="2" t="s">
        <v>1526</v>
      </c>
      <c r="F544" s="2" t="s">
        <v>1528</v>
      </c>
      <c r="G544" s="2" t="s">
        <v>1529</v>
      </c>
      <c r="H544" s="2" t="s">
        <v>24</v>
      </c>
      <c r="I544" s="6">
        <v>37.299999999999997</v>
      </c>
      <c r="J544" s="6">
        <v>-634</v>
      </c>
      <c r="K544" s="6">
        <v>0</v>
      </c>
      <c r="L544" s="6">
        <v>0</v>
      </c>
      <c r="M544" s="6">
        <v>0</v>
      </c>
      <c r="N544" s="6">
        <v>0</v>
      </c>
      <c r="O544" s="6">
        <v>-634</v>
      </c>
      <c r="P544" s="2" t="s">
        <v>31</v>
      </c>
      <c r="Q544" s="2" t="s">
        <v>26</v>
      </c>
      <c r="R544" s="2" t="s">
        <v>66</v>
      </c>
      <c r="S544" s="5">
        <v>0</v>
      </c>
      <c r="T544" s="1">
        <v>0</v>
      </c>
      <c r="U544" s="2">
        <f t="shared" si="118"/>
        <v>0</v>
      </c>
      <c r="V544" s="1">
        <v>1</v>
      </c>
      <c r="W544" s="2">
        <f t="shared" si="116"/>
        <v>1</v>
      </c>
      <c r="X544" s="8" t="e">
        <f t="shared" si="117"/>
        <v>#DIV/0!</v>
      </c>
    </row>
    <row r="545" spans="1:24" ht="15" customHeight="1">
      <c r="A545" s="9">
        <v>46054</v>
      </c>
      <c r="B545" s="2" t="s">
        <v>867</v>
      </c>
      <c r="C545" s="2" t="s">
        <v>1145</v>
      </c>
      <c r="D545" s="2" t="s">
        <v>1530</v>
      </c>
      <c r="E545" s="2" t="s">
        <v>1531</v>
      </c>
      <c r="F545" s="2" t="s">
        <v>1532</v>
      </c>
      <c r="G545" s="2" t="s">
        <v>65</v>
      </c>
      <c r="H545" s="2" t="s">
        <v>24</v>
      </c>
      <c r="I545" s="6">
        <v>18.649999999999999</v>
      </c>
      <c r="J545" s="6">
        <v>0</v>
      </c>
      <c r="K545" s="6">
        <v>0</v>
      </c>
      <c r="L545" s="6">
        <v>0</v>
      </c>
      <c r="M545" s="6">
        <v>0</v>
      </c>
      <c r="N545" s="6">
        <v>0</v>
      </c>
      <c r="O545" s="6">
        <v>0</v>
      </c>
      <c r="P545" s="2" t="s">
        <v>31</v>
      </c>
      <c r="Q545" s="2" t="s">
        <v>26</v>
      </c>
      <c r="R545" s="2" t="s">
        <v>66</v>
      </c>
      <c r="S545" s="5">
        <v>0</v>
      </c>
      <c r="T545" s="1">
        <v>0</v>
      </c>
      <c r="U545" s="2">
        <f t="shared" si="118"/>
        <v>0</v>
      </c>
      <c r="V545" s="1">
        <v>1</v>
      </c>
      <c r="W545" s="2">
        <f t="shared" si="116"/>
        <v>1</v>
      </c>
      <c r="X545" s="8" t="e">
        <f t="shared" si="117"/>
        <v>#DIV/0!</v>
      </c>
    </row>
    <row r="546" spans="1:24" ht="15" customHeight="1">
      <c r="A546" s="9">
        <v>46054</v>
      </c>
      <c r="B546" s="2" t="s">
        <v>867</v>
      </c>
      <c r="C546" s="2" t="s">
        <v>1145</v>
      </c>
      <c r="D546" s="2" t="s">
        <v>1533</v>
      </c>
      <c r="E546" s="2" t="s">
        <v>1534</v>
      </c>
      <c r="F546" s="2" t="s">
        <v>1496</v>
      </c>
      <c r="G546" s="2" t="s">
        <v>1535</v>
      </c>
      <c r="H546" s="2" t="s">
        <v>24</v>
      </c>
      <c r="I546" s="6">
        <v>3</v>
      </c>
      <c r="J546" s="6">
        <v>-69</v>
      </c>
      <c r="K546" s="6">
        <v>0</v>
      </c>
      <c r="L546" s="6">
        <v>0</v>
      </c>
      <c r="M546" s="6">
        <v>0</v>
      </c>
      <c r="N546" s="6">
        <v>0</v>
      </c>
      <c r="O546" s="6">
        <v>-69</v>
      </c>
      <c r="P546" s="2" t="s">
        <v>31</v>
      </c>
      <c r="Q546" s="2" t="s">
        <v>26</v>
      </c>
      <c r="R546" s="2" t="s">
        <v>33</v>
      </c>
      <c r="S546" s="5">
        <v>0</v>
      </c>
      <c r="T546" s="1">
        <v>0</v>
      </c>
      <c r="U546" s="2">
        <f t="shared" si="118"/>
        <v>0</v>
      </c>
      <c r="V546" s="1">
        <v>1</v>
      </c>
      <c r="W546" s="2">
        <f t="shared" si="116"/>
        <v>1</v>
      </c>
      <c r="X546" s="8" t="e">
        <f t="shared" si="117"/>
        <v>#DIV/0!</v>
      </c>
    </row>
    <row r="547" spans="1:24" ht="15" customHeight="1">
      <c r="A547" s="9">
        <v>46054</v>
      </c>
      <c r="B547" s="2" t="s">
        <v>867</v>
      </c>
      <c r="C547" s="2" t="s">
        <v>1145</v>
      </c>
      <c r="D547" s="2" t="s">
        <v>1536</v>
      </c>
      <c r="E547" s="2" t="s">
        <v>1537</v>
      </c>
      <c r="F547" s="2" t="s">
        <v>1538</v>
      </c>
      <c r="G547" s="2" t="s">
        <v>1147</v>
      </c>
      <c r="H547" s="2" t="s">
        <v>24</v>
      </c>
      <c r="I547" s="6">
        <v>3</v>
      </c>
      <c r="J547" s="6">
        <v>-69</v>
      </c>
      <c r="K547" s="6">
        <v>0</v>
      </c>
      <c r="L547" s="6">
        <v>0</v>
      </c>
      <c r="M547" s="6">
        <v>0</v>
      </c>
      <c r="N547" s="6">
        <v>0</v>
      </c>
      <c r="O547" s="6">
        <v>-69</v>
      </c>
      <c r="P547" s="2" t="s">
        <v>31</v>
      </c>
      <c r="Q547" s="2" t="s">
        <v>26</v>
      </c>
      <c r="R547" s="2" t="s">
        <v>33</v>
      </c>
      <c r="S547" s="5">
        <v>0</v>
      </c>
      <c r="T547" s="1">
        <v>0</v>
      </c>
      <c r="U547" s="2">
        <f t="shared" si="118"/>
        <v>0</v>
      </c>
      <c r="V547" s="1">
        <v>1</v>
      </c>
      <c r="W547" s="2">
        <f t="shared" si="116"/>
        <v>1</v>
      </c>
      <c r="X547" s="8" t="e">
        <f t="shared" si="117"/>
        <v>#DIV/0!</v>
      </c>
    </row>
    <row r="548" spans="1:24">
      <c r="A548" s="9">
        <v>46054</v>
      </c>
      <c r="B548" s="2" t="s">
        <v>867</v>
      </c>
      <c r="C548" s="2" t="s">
        <v>1145</v>
      </c>
      <c r="D548" s="2" t="s">
        <v>1156</v>
      </c>
      <c r="E548" s="2" t="s">
        <v>1157</v>
      </c>
      <c r="F548" s="2" t="s">
        <v>1158</v>
      </c>
      <c r="G548" s="2" t="s">
        <v>1159</v>
      </c>
      <c r="H548" s="2" t="s">
        <v>24</v>
      </c>
      <c r="I548" s="6">
        <v>30</v>
      </c>
      <c r="J548" s="6">
        <v>-1269</v>
      </c>
      <c r="K548" s="6">
        <v>0</v>
      </c>
      <c r="L548" s="6">
        <v>0</v>
      </c>
      <c r="M548" s="6">
        <v>0</v>
      </c>
      <c r="N548" s="6">
        <v>0</v>
      </c>
      <c r="O548" s="6">
        <v>-1269</v>
      </c>
      <c r="P548" s="2" t="s">
        <v>25</v>
      </c>
      <c r="Q548" s="2" t="s">
        <v>26</v>
      </c>
      <c r="R548" s="2" t="s">
        <v>27</v>
      </c>
      <c r="S548" s="5">
        <v>0</v>
      </c>
      <c r="T548" s="1">
        <v>0</v>
      </c>
      <c r="U548" s="2">
        <f t="shared" si="118"/>
        <v>0</v>
      </c>
      <c r="V548" s="1">
        <v>1</v>
      </c>
      <c r="W548" s="2">
        <f t="shared" si="116"/>
        <v>1</v>
      </c>
      <c r="X548" s="8" t="e">
        <f t="shared" si="117"/>
        <v>#DIV/0!</v>
      </c>
    </row>
    <row r="549" spans="1:24" ht="15" customHeight="1">
      <c r="A549" s="9">
        <v>46054</v>
      </c>
      <c r="B549" s="2" t="s">
        <v>95</v>
      </c>
      <c r="C549" s="2" t="s">
        <v>1145</v>
      </c>
      <c r="D549" s="2" t="s">
        <v>1160</v>
      </c>
      <c r="E549" s="2" t="s">
        <v>475</v>
      </c>
      <c r="F549" s="2" t="s">
        <v>1161</v>
      </c>
      <c r="G549" s="2" t="s">
        <v>853</v>
      </c>
      <c r="H549" s="2" t="s">
        <v>24</v>
      </c>
      <c r="I549" s="6">
        <v>22.38</v>
      </c>
      <c r="J549" s="6">
        <v>19663</v>
      </c>
      <c r="K549" s="6">
        <v>259257</v>
      </c>
      <c r="L549" s="6">
        <v>278920</v>
      </c>
      <c r="M549" s="6">
        <v>0</v>
      </c>
      <c r="N549" s="6">
        <v>10731</v>
      </c>
      <c r="O549" s="6">
        <v>10731</v>
      </c>
      <c r="P549" s="2" t="s">
        <v>25</v>
      </c>
      <c r="Q549" s="2" t="s">
        <v>32</v>
      </c>
      <c r="R549" s="2" t="s">
        <v>27</v>
      </c>
      <c r="S549" s="5">
        <v>0</v>
      </c>
      <c r="T549" s="1">
        <v>1</v>
      </c>
      <c r="U549" s="2">
        <f>T549+S549</f>
        <v>1</v>
      </c>
      <c r="V549" s="1">
        <v>0</v>
      </c>
      <c r="W549" s="2">
        <f t="shared" si="116"/>
        <v>1</v>
      </c>
      <c r="X549" s="8">
        <f t="shared" si="117"/>
        <v>0</v>
      </c>
    </row>
    <row r="550" spans="1:24" ht="15" customHeight="1">
      <c r="A550" s="9">
        <v>46054</v>
      </c>
      <c r="B550" s="2" t="s">
        <v>45</v>
      </c>
      <c r="C550" s="2" t="s">
        <v>1162</v>
      </c>
      <c r="D550" s="2" t="s">
        <v>1163</v>
      </c>
      <c r="E550" s="2" t="s">
        <v>807</v>
      </c>
      <c r="F550" s="2" t="s">
        <v>1164</v>
      </c>
      <c r="G550" s="2" t="s">
        <v>1165</v>
      </c>
      <c r="H550" s="2" t="s">
        <v>24</v>
      </c>
      <c r="I550" s="6">
        <v>29.84</v>
      </c>
      <c r="J550" s="6">
        <v>166953</v>
      </c>
      <c r="K550" s="6">
        <v>1180</v>
      </c>
      <c r="L550" s="6">
        <v>168183</v>
      </c>
      <c r="M550" s="6">
        <v>0</v>
      </c>
      <c r="N550" s="6">
        <v>50</v>
      </c>
      <c r="O550" s="6">
        <v>0</v>
      </c>
      <c r="P550" s="2" t="s">
        <v>25</v>
      </c>
      <c r="Q550" s="2" t="s">
        <v>32</v>
      </c>
      <c r="R550" s="2" t="s">
        <v>27</v>
      </c>
      <c r="S550" s="5">
        <v>1</v>
      </c>
      <c r="T550" s="1">
        <v>0</v>
      </c>
      <c r="U550" s="2">
        <f>T550+S550</f>
        <v>1</v>
      </c>
      <c r="V550" s="1">
        <v>0</v>
      </c>
      <c r="W550" s="2">
        <f>V550+U550</f>
        <v>1</v>
      </c>
      <c r="X550" s="8">
        <f t="shared" si="117"/>
        <v>100</v>
      </c>
    </row>
    <row r="551" spans="1:24" ht="15" customHeight="1">
      <c r="A551" s="9">
        <v>46054</v>
      </c>
      <c r="B551" s="2" t="s">
        <v>45</v>
      </c>
      <c r="C551" s="2" t="s">
        <v>1162</v>
      </c>
      <c r="D551" s="2" t="s">
        <v>1166</v>
      </c>
      <c r="E551" s="2" t="s">
        <v>475</v>
      </c>
      <c r="F551" s="2" t="s">
        <v>709</v>
      </c>
      <c r="G551" s="2" t="s">
        <v>1167</v>
      </c>
      <c r="H551" s="2" t="s">
        <v>24</v>
      </c>
      <c r="I551" s="6">
        <v>30</v>
      </c>
      <c r="J551" s="6">
        <v>8614</v>
      </c>
      <c r="K551" s="6">
        <v>188981</v>
      </c>
      <c r="L551" s="6">
        <v>197595</v>
      </c>
      <c r="M551" s="6">
        <v>0</v>
      </c>
      <c r="N551" s="6">
        <v>0</v>
      </c>
      <c r="O551" s="6">
        <v>0</v>
      </c>
      <c r="P551" s="2" t="s">
        <v>25</v>
      </c>
      <c r="Q551" s="2" t="s">
        <v>32</v>
      </c>
      <c r="R551" s="2" t="s">
        <v>27</v>
      </c>
      <c r="S551" s="5">
        <v>1</v>
      </c>
      <c r="T551" s="1">
        <v>0</v>
      </c>
      <c r="U551" s="2">
        <f>T551+S551</f>
        <v>1</v>
      </c>
      <c r="V551" s="1">
        <v>0</v>
      </c>
      <c r="W551" s="2">
        <f t="shared" si="116"/>
        <v>1</v>
      </c>
      <c r="X551" s="8">
        <f t="shared" si="117"/>
        <v>100</v>
      </c>
    </row>
    <row r="552" spans="1:24" ht="15" customHeight="1">
      <c r="A552" s="9">
        <v>46054</v>
      </c>
      <c r="B552" s="2" t="s">
        <v>45</v>
      </c>
      <c r="C552" s="2" t="s">
        <v>1162</v>
      </c>
      <c r="D552" s="2" t="s">
        <v>1648</v>
      </c>
      <c r="E552" s="2" t="s">
        <v>494</v>
      </c>
      <c r="F552" s="2" t="s">
        <v>1649</v>
      </c>
      <c r="G552" s="2" t="s">
        <v>1650</v>
      </c>
      <c r="H552" s="2" t="s">
        <v>24</v>
      </c>
      <c r="I552" s="6">
        <v>29.84</v>
      </c>
      <c r="J552" s="6">
        <v>2196030</v>
      </c>
      <c r="K552" s="6">
        <v>25644</v>
      </c>
      <c r="L552" s="6">
        <v>0</v>
      </c>
      <c r="M552" s="6">
        <v>0</v>
      </c>
      <c r="N552" s="6">
        <v>6727</v>
      </c>
      <c r="O552" s="6">
        <v>2228401</v>
      </c>
      <c r="P552" s="2" t="s">
        <v>25</v>
      </c>
      <c r="Q552" s="2" t="s">
        <v>32</v>
      </c>
      <c r="R552" s="2" t="s">
        <v>50</v>
      </c>
      <c r="S552" s="5">
        <v>1</v>
      </c>
      <c r="T552" s="1">
        <v>0</v>
      </c>
      <c r="U552" s="2">
        <f>T552+S552</f>
        <v>1</v>
      </c>
      <c r="V552" s="1">
        <v>0</v>
      </c>
      <c r="W552" s="2">
        <f t="shared" si="116"/>
        <v>1</v>
      </c>
      <c r="X552" s="8">
        <f t="shared" si="117"/>
        <v>100</v>
      </c>
    </row>
    <row r="553" spans="1:24" ht="15" customHeight="1">
      <c r="A553" s="9">
        <v>46054</v>
      </c>
      <c r="B553" s="2" t="s">
        <v>45</v>
      </c>
      <c r="C553" s="2" t="s">
        <v>1162</v>
      </c>
      <c r="D553" s="2" t="s">
        <v>1168</v>
      </c>
      <c r="E553" s="2" t="s">
        <v>475</v>
      </c>
      <c r="F553" s="2" t="s">
        <v>1169</v>
      </c>
      <c r="G553" s="2" t="s">
        <v>65</v>
      </c>
      <c r="H553" s="2" t="s">
        <v>24</v>
      </c>
      <c r="I553" s="6">
        <v>159</v>
      </c>
      <c r="J553" s="6">
        <v>0</v>
      </c>
      <c r="K553" s="6">
        <v>157214</v>
      </c>
      <c r="L553" s="6">
        <v>0</v>
      </c>
      <c r="M553" s="6">
        <v>0</v>
      </c>
      <c r="N553" s="6">
        <v>13066</v>
      </c>
      <c r="O553" s="6">
        <v>170280</v>
      </c>
      <c r="P553" s="2" t="s">
        <v>25</v>
      </c>
      <c r="Q553" s="2" t="s">
        <v>32</v>
      </c>
      <c r="R553" s="2" t="s">
        <v>27</v>
      </c>
      <c r="S553" s="5">
        <v>1</v>
      </c>
      <c r="T553" s="1">
        <v>0</v>
      </c>
      <c r="U553" s="2">
        <f t="shared" ref="U553:U577" si="119">T553+S553</f>
        <v>1</v>
      </c>
      <c r="V553" s="1">
        <v>0</v>
      </c>
      <c r="W553" s="2">
        <f t="shared" si="116"/>
        <v>1</v>
      </c>
      <c r="X553" s="8">
        <f t="shared" si="117"/>
        <v>100</v>
      </c>
    </row>
    <row r="554" spans="1:24" ht="15" customHeight="1">
      <c r="A554" s="9">
        <v>46054</v>
      </c>
      <c r="B554" s="2" t="s">
        <v>45</v>
      </c>
      <c r="C554" s="2" t="s">
        <v>1162</v>
      </c>
      <c r="D554" s="2" t="s">
        <v>1677</v>
      </c>
      <c r="E554" s="2" t="s">
        <v>60</v>
      </c>
      <c r="F554" s="2" t="s">
        <v>1678</v>
      </c>
      <c r="G554" s="2" t="s">
        <v>49</v>
      </c>
      <c r="H554" s="2" t="s">
        <v>24</v>
      </c>
      <c r="I554" s="6">
        <v>29.84</v>
      </c>
      <c r="J554" s="6">
        <v>300291</v>
      </c>
      <c r="K554" s="6">
        <v>2267</v>
      </c>
      <c r="L554" s="6">
        <v>0</v>
      </c>
      <c r="M554" s="6">
        <v>0</v>
      </c>
      <c r="N554" s="6">
        <v>495</v>
      </c>
      <c r="O554" s="6">
        <v>303053</v>
      </c>
      <c r="P554" s="2" t="s">
        <v>25</v>
      </c>
      <c r="Q554" s="2" t="s">
        <v>32</v>
      </c>
      <c r="R554" s="2" t="s">
        <v>50</v>
      </c>
      <c r="S554" s="5">
        <v>1</v>
      </c>
      <c r="T554" s="1">
        <v>0</v>
      </c>
      <c r="U554" s="2">
        <f t="shared" si="119"/>
        <v>1</v>
      </c>
      <c r="V554" s="1">
        <v>0</v>
      </c>
      <c r="W554" s="2">
        <f t="shared" si="116"/>
        <v>1</v>
      </c>
      <c r="X554" s="8">
        <f t="shared" si="117"/>
        <v>100</v>
      </c>
    </row>
    <row r="555" spans="1:24" ht="15" customHeight="1">
      <c r="A555" s="9">
        <v>46054</v>
      </c>
      <c r="B555" s="2" t="s">
        <v>45</v>
      </c>
      <c r="C555" s="2" t="s">
        <v>1162</v>
      </c>
      <c r="D555" s="2" t="s">
        <v>1622</v>
      </c>
      <c r="E555" s="2" t="s">
        <v>60</v>
      </c>
      <c r="F555" s="2" t="s">
        <v>1623</v>
      </c>
      <c r="G555" s="2" t="s">
        <v>1624</v>
      </c>
      <c r="H555" s="2" t="s">
        <v>24</v>
      </c>
      <c r="I555" s="6">
        <v>29.84</v>
      </c>
      <c r="J555" s="6">
        <v>92311</v>
      </c>
      <c r="K555" s="6">
        <v>46574</v>
      </c>
      <c r="L555" s="6">
        <v>142618</v>
      </c>
      <c r="M555" s="6">
        <v>0</v>
      </c>
      <c r="N555" s="6">
        <v>3733</v>
      </c>
      <c r="O555" s="6">
        <v>0</v>
      </c>
      <c r="P555" s="2" t="s">
        <v>25</v>
      </c>
      <c r="Q555" s="2" t="s">
        <v>32</v>
      </c>
      <c r="R555" s="2" t="s">
        <v>50</v>
      </c>
      <c r="S555" s="5">
        <v>1</v>
      </c>
      <c r="T555" s="1">
        <v>0</v>
      </c>
      <c r="U555" s="2">
        <f t="shared" si="119"/>
        <v>1</v>
      </c>
      <c r="V555" s="1">
        <v>0</v>
      </c>
      <c r="W555" s="2">
        <f t="shared" si="116"/>
        <v>1</v>
      </c>
      <c r="X555" s="8">
        <f t="shared" si="117"/>
        <v>100</v>
      </c>
    </row>
    <row r="556" spans="1:24" ht="15" customHeight="1">
      <c r="A556" s="9">
        <v>46054</v>
      </c>
      <c r="B556" s="2" t="s">
        <v>45</v>
      </c>
      <c r="C556" s="2" t="s">
        <v>1162</v>
      </c>
      <c r="D556" s="2" t="s">
        <v>1170</v>
      </c>
      <c r="E556" s="2" t="s">
        <v>475</v>
      </c>
      <c r="F556" s="2" t="s">
        <v>1171</v>
      </c>
      <c r="G556" s="2" t="s">
        <v>1172</v>
      </c>
      <c r="H556" s="2" t="s">
        <v>24</v>
      </c>
      <c r="I556" s="6">
        <v>55.95</v>
      </c>
      <c r="J556" s="6">
        <v>32858</v>
      </c>
      <c r="K556" s="6">
        <v>954046</v>
      </c>
      <c r="L556" s="6">
        <v>986904</v>
      </c>
      <c r="M556" s="6">
        <v>0</v>
      </c>
      <c r="N556" s="6">
        <v>0</v>
      </c>
      <c r="O556" s="6">
        <v>0</v>
      </c>
      <c r="P556" s="2" t="s">
        <v>25</v>
      </c>
      <c r="Q556" s="2" t="s">
        <v>32</v>
      </c>
      <c r="R556" s="2" t="s">
        <v>27</v>
      </c>
      <c r="S556" s="5">
        <v>1</v>
      </c>
      <c r="T556" s="1">
        <v>0</v>
      </c>
      <c r="U556" s="2">
        <f t="shared" si="119"/>
        <v>1</v>
      </c>
      <c r="V556" s="1">
        <v>0</v>
      </c>
      <c r="W556" s="2">
        <f t="shared" si="116"/>
        <v>1</v>
      </c>
      <c r="X556" s="8">
        <f t="shared" si="117"/>
        <v>100</v>
      </c>
    </row>
    <row r="557" spans="1:24" ht="15" customHeight="1">
      <c r="A557" s="9">
        <v>46054</v>
      </c>
      <c r="B557" s="2" t="s">
        <v>45</v>
      </c>
      <c r="C557" s="2" t="s">
        <v>1162</v>
      </c>
      <c r="D557" s="2" t="s">
        <v>1173</v>
      </c>
      <c r="E557" s="2" t="s">
        <v>949</v>
      </c>
      <c r="F557" s="2" t="s">
        <v>1174</v>
      </c>
      <c r="G557" s="2" t="s">
        <v>1175</v>
      </c>
      <c r="H557" s="2" t="s">
        <v>24</v>
      </c>
      <c r="I557" s="6">
        <v>29.84</v>
      </c>
      <c r="J557" s="6">
        <v>4670</v>
      </c>
      <c r="K557" s="6">
        <v>28975</v>
      </c>
      <c r="L557" s="6">
        <v>33645</v>
      </c>
      <c r="M557" s="6">
        <v>0</v>
      </c>
      <c r="N557" s="6">
        <v>0</v>
      </c>
      <c r="O557" s="6">
        <v>0</v>
      </c>
      <c r="P557" s="2" t="s">
        <v>25</v>
      </c>
      <c r="Q557" s="2" t="s">
        <v>32</v>
      </c>
      <c r="R557" s="2" t="s">
        <v>50</v>
      </c>
      <c r="S557" s="5">
        <v>1</v>
      </c>
      <c r="T557" s="1">
        <v>0</v>
      </c>
      <c r="U557" s="2">
        <f t="shared" si="119"/>
        <v>1</v>
      </c>
      <c r="V557" s="1">
        <v>0</v>
      </c>
      <c r="W557" s="2">
        <f t="shared" si="116"/>
        <v>1</v>
      </c>
      <c r="X557" s="8">
        <f t="shared" si="117"/>
        <v>100</v>
      </c>
    </row>
    <row r="558" spans="1:24" ht="15" customHeight="1">
      <c r="A558" s="9">
        <v>46054</v>
      </c>
      <c r="B558" s="2" t="s">
        <v>45</v>
      </c>
      <c r="C558" s="2" t="s">
        <v>1162</v>
      </c>
      <c r="D558" s="2" t="s">
        <v>1176</v>
      </c>
      <c r="E558" s="2" t="s">
        <v>475</v>
      </c>
      <c r="F558" s="2" t="s">
        <v>1177</v>
      </c>
      <c r="G558" s="2" t="s">
        <v>65</v>
      </c>
      <c r="H558" s="2" t="s">
        <v>24</v>
      </c>
      <c r="I558" s="6">
        <v>37.299999999999997</v>
      </c>
      <c r="J558" s="6">
        <v>50</v>
      </c>
      <c r="K558" s="6">
        <v>1180</v>
      </c>
      <c r="L558" s="6">
        <v>1230</v>
      </c>
      <c r="M558" s="6">
        <v>0</v>
      </c>
      <c r="N558" s="6">
        <v>0</v>
      </c>
      <c r="O558" s="6">
        <v>0</v>
      </c>
      <c r="P558" s="2" t="s">
        <v>25</v>
      </c>
      <c r="Q558" s="2" t="s">
        <v>32</v>
      </c>
      <c r="R558" s="2" t="s">
        <v>27</v>
      </c>
      <c r="S558" s="5">
        <v>1</v>
      </c>
      <c r="T558" s="1">
        <v>0</v>
      </c>
      <c r="U558" s="2">
        <f t="shared" si="119"/>
        <v>1</v>
      </c>
      <c r="V558" s="1">
        <v>0</v>
      </c>
      <c r="W558" s="2">
        <f t="shared" si="116"/>
        <v>1</v>
      </c>
      <c r="X558" s="8">
        <f t="shared" si="117"/>
        <v>100</v>
      </c>
    </row>
    <row r="559" spans="1:24" ht="15" customHeight="1">
      <c r="A559" s="9">
        <v>46054</v>
      </c>
      <c r="B559" s="2" t="s">
        <v>45</v>
      </c>
      <c r="C559" s="2" t="s">
        <v>1162</v>
      </c>
      <c r="D559" s="2" t="s">
        <v>1178</v>
      </c>
      <c r="E559" s="2" t="s">
        <v>475</v>
      </c>
      <c r="F559" s="2" t="s">
        <v>1179</v>
      </c>
      <c r="G559" s="2" t="s">
        <v>887</v>
      </c>
      <c r="H559" s="2" t="s">
        <v>24</v>
      </c>
      <c r="I559" s="6">
        <v>29.84</v>
      </c>
      <c r="J559" s="6">
        <v>-31277</v>
      </c>
      <c r="K559" s="6">
        <v>1180</v>
      </c>
      <c r="L559" s="6">
        <v>0</v>
      </c>
      <c r="M559" s="6">
        <v>0</v>
      </c>
      <c r="N559" s="6">
        <v>0</v>
      </c>
      <c r="O559" s="6">
        <v>-30097</v>
      </c>
      <c r="P559" s="2" t="s">
        <v>25</v>
      </c>
      <c r="Q559" s="2" t="s">
        <v>32</v>
      </c>
      <c r="R559" s="2" t="s">
        <v>27</v>
      </c>
      <c r="S559" s="5">
        <v>1</v>
      </c>
      <c r="T559" s="1">
        <v>0</v>
      </c>
      <c r="U559" s="2">
        <f>T559+S559</f>
        <v>1</v>
      </c>
      <c r="V559" s="1">
        <v>0</v>
      </c>
      <c r="W559" s="2">
        <f t="shared" si="116"/>
        <v>1</v>
      </c>
      <c r="X559" s="8">
        <f t="shared" si="117"/>
        <v>100</v>
      </c>
    </row>
    <row r="560" spans="1:24" ht="15" customHeight="1">
      <c r="A560" s="9">
        <v>46054</v>
      </c>
      <c r="B560" s="2" t="s">
        <v>45</v>
      </c>
      <c r="C560" s="2" t="s">
        <v>1162</v>
      </c>
      <c r="D560" s="2" t="s">
        <v>1729</v>
      </c>
      <c r="E560" s="2" t="s">
        <v>767</v>
      </c>
      <c r="F560" s="2" t="s">
        <v>1730</v>
      </c>
      <c r="G560" s="2" t="s">
        <v>49</v>
      </c>
      <c r="H560" s="2" t="s">
        <v>24</v>
      </c>
      <c r="I560" s="6">
        <v>29.84</v>
      </c>
      <c r="J560" s="6">
        <v>137285</v>
      </c>
      <c r="K560" s="6">
        <v>115438</v>
      </c>
      <c r="L560" s="6">
        <v>256100</v>
      </c>
      <c r="M560" s="6">
        <v>0</v>
      </c>
      <c r="N560" s="6">
        <v>8188</v>
      </c>
      <c r="O560" s="6">
        <v>4811</v>
      </c>
      <c r="P560" s="2" t="s">
        <v>25</v>
      </c>
      <c r="Q560" s="2" t="s">
        <v>32</v>
      </c>
      <c r="R560" s="2" t="s">
        <v>50</v>
      </c>
      <c r="S560" s="5">
        <v>1</v>
      </c>
      <c r="T560" s="1">
        <v>0</v>
      </c>
      <c r="U560" s="2">
        <f>T560+S560</f>
        <v>1</v>
      </c>
      <c r="V560" s="1">
        <v>0</v>
      </c>
      <c r="W560" s="2">
        <f t="shared" si="116"/>
        <v>1</v>
      </c>
      <c r="X560" s="8">
        <f t="shared" si="117"/>
        <v>100</v>
      </c>
    </row>
    <row r="561" spans="1:24" ht="15" customHeight="1">
      <c r="A561" s="9">
        <v>46054</v>
      </c>
      <c r="B561" s="2" t="s">
        <v>45</v>
      </c>
      <c r="C561" s="2" t="s">
        <v>1162</v>
      </c>
      <c r="D561" s="2" t="s">
        <v>1625</v>
      </c>
      <c r="E561" s="2" t="s">
        <v>60</v>
      </c>
      <c r="F561" s="2" t="s">
        <v>1626</v>
      </c>
      <c r="G561" s="2" t="s">
        <v>1627</v>
      </c>
      <c r="H561" s="2" t="s">
        <v>24</v>
      </c>
      <c r="I561" s="6">
        <v>29.84</v>
      </c>
      <c r="J561" s="6">
        <v>2200240</v>
      </c>
      <c r="K561" s="6">
        <v>173890</v>
      </c>
      <c r="L561" s="6">
        <v>185000</v>
      </c>
      <c r="M561" s="6">
        <v>0</v>
      </c>
      <c r="N561" s="6">
        <v>21089</v>
      </c>
      <c r="O561" s="6">
        <v>2210219</v>
      </c>
      <c r="P561" s="2" t="s">
        <v>25</v>
      </c>
      <c r="Q561" s="2" t="s">
        <v>32</v>
      </c>
      <c r="R561" s="2" t="s">
        <v>50</v>
      </c>
      <c r="S561" s="5">
        <v>1</v>
      </c>
      <c r="T561" s="1">
        <v>0</v>
      </c>
      <c r="U561" s="2">
        <f t="shared" si="119"/>
        <v>1</v>
      </c>
      <c r="V561" s="1">
        <v>0</v>
      </c>
      <c r="W561" s="2">
        <f t="shared" si="116"/>
        <v>1</v>
      </c>
      <c r="X561" s="8">
        <f t="shared" si="117"/>
        <v>100</v>
      </c>
    </row>
    <row r="562" spans="1:24" ht="15" customHeight="1">
      <c r="A562" s="9">
        <v>46054</v>
      </c>
      <c r="B562" s="2" t="s">
        <v>45</v>
      </c>
      <c r="C562" s="2" t="s">
        <v>1162</v>
      </c>
      <c r="D562" s="2" t="s">
        <v>1180</v>
      </c>
      <c r="E562" s="2" t="s">
        <v>60</v>
      </c>
      <c r="F562" s="2" t="s">
        <v>1181</v>
      </c>
      <c r="G562" s="2" t="s">
        <v>65</v>
      </c>
      <c r="H562" s="2" t="s">
        <v>24</v>
      </c>
      <c r="I562" s="6">
        <v>29.84</v>
      </c>
      <c r="J562" s="6">
        <v>4797161</v>
      </c>
      <c r="K562" s="6">
        <v>32075</v>
      </c>
      <c r="L562" s="6">
        <v>45000</v>
      </c>
      <c r="M562" s="6">
        <v>0</v>
      </c>
      <c r="N562" s="6">
        <v>10325</v>
      </c>
      <c r="O562" s="6">
        <v>4794561</v>
      </c>
      <c r="P562" s="2" t="s">
        <v>25</v>
      </c>
      <c r="Q562" s="2" t="s">
        <v>32</v>
      </c>
      <c r="R562" s="2" t="s">
        <v>50</v>
      </c>
      <c r="S562" s="5">
        <v>1</v>
      </c>
      <c r="T562" s="1">
        <v>0</v>
      </c>
      <c r="U562" s="2">
        <f t="shared" si="119"/>
        <v>1</v>
      </c>
      <c r="V562" s="1">
        <v>0</v>
      </c>
      <c r="W562" s="2">
        <f t="shared" si="116"/>
        <v>1</v>
      </c>
      <c r="X562" s="8">
        <f t="shared" si="117"/>
        <v>100</v>
      </c>
    </row>
    <row r="563" spans="1:24" ht="15" customHeight="1">
      <c r="A563" s="9">
        <v>46054</v>
      </c>
      <c r="B563" s="2" t="s">
        <v>45</v>
      </c>
      <c r="C563" s="2" t="s">
        <v>1162</v>
      </c>
      <c r="D563" s="2" t="s">
        <v>1628</v>
      </c>
      <c r="E563" s="2" t="s">
        <v>60</v>
      </c>
      <c r="F563" s="2" t="s">
        <v>88</v>
      </c>
      <c r="G563" s="2" t="s">
        <v>1629</v>
      </c>
      <c r="H563" s="2" t="s">
        <v>24</v>
      </c>
      <c r="I563" s="6">
        <v>29.84</v>
      </c>
      <c r="J563" s="6">
        <v>9598253</v>
      </c>
      <c r="K563" s="6">
        <v>981406</v>
      </c>
      <c r="L563" s="6">
        <v>985000</v>
      </c>
      <c r="M563" s="6">
        <v>0</v>
      </c>
      <c r="N563" s="6">
        <v>113397</v>
      </c>
      <c r="O563" s="6">
        <v>9708056</v>
      </c>
      <c r="P563" s="2" t="s">
        <v>25</v>
      </c>
      <c r="Q563" s="2" t="s">
        <v>32</v>
      </c>
      <c r="R563" s="2" t="s">
        <v>50</v>
      </c>
      <c r="S563" s="5">
        <v>1</v>
      </c>
      <c r="T563" s="1">
        <v>0</v>
      </c>
      <c r="U563" s="2">
        <f t="shared" si="119"/>
        <v>1</v>
      </c>
      <c r="V563" s="1">
        <v>0</v>
      </c>
      <c r="W563" s="2">
        <f t="shared" si="116"/>
        <v>1</v>
      </c>
      <c r="X563" s="8">
        <f t="shared" si="117"/>
        <v>100</v>
      </c>
    </row>
    <row r="564" spans="1:24" ht="15" customHeight="1">
      <c r="A564" s="9">
        <v>46054</v>
      </c>
      <c r="B564" s="2" t="s">
        <v>45</v>
      </c>
      <c r="C564" s="2" t="s">
        <v>1162</v>
      </c>
      <c r="D564" s="2" t="s">
        <v>1182</v>
      </c>
      <c r="E564" s="2" t="s">
        <v>60</v>
      </c>
      <c r="F564" s="2" t="s">
        <v>1183</v>
      </c>
      <c r="G564" s="2" t="s">
        <v>65</v>
      </c>
      <c r="H564" s="2" t="s">
        <v>24</v>
      </c>
      <c r="I564" s="6">
        <v>29.84</v>
      </c>
      <c r="J564" s="6">
        <v>2032401</v>
      </c>
      <c r="K564" s="6">
        <v>1180</v>
      </c>
      <c r="L564" s="6">
        <v>0</v>
      </c>
      <c r="M564" s="6">
        <v>0</v>
      </c>
      <c r="N564" s="6">
        <v>150</v>
      </c>
      <c r="O564" s="6">
        <v>2033731</v>
      </c>
      <c r="P564" s="2" t="s">
        <v>25</v>
      </c>
      <c r="Q564" s="2" t="s">
        <v>32</v>
      </c>
      <c r="R564" s="2" t="s">
        <v>50</v>
      </c>
      <c r="S564" s="5">
        <v>1</v>
      </c>
      <c r="T564" s="1">
        <v>0</v>
      </c>
      <c r="U564" s="2">
        <f t="shared" si="119"/>
        <v>1</v>
      </c>
      <c r="V564" s="1">
        <v>0</v>
      </c>
      <c r="W564" s="2">
        <f t="shared" si="116"/>
        <v>1</v>
      </c>
      <c r="X564" s="8">
        <f t="shared" si="117"/>
        <v>100</v>
      </c>
    </row>
    <row r="565" spans="1:24" ht="15" customHeight="1">
      <c r="A565" s="9">
        <v>46054</v>
      </c>
      <c r="B565" s="2" t="s">
        <v>45</v>
      </c>
      <c r="C565" s="2" t="s">
        <v>1162</v>
      </c>
      <c r="D565" s="2" t="s">
        <v>1184</v>
      </c>
      <c r="E565" s="2" t="s">
        <v>936</v>
      </c>
      <c r="F565" s="2" t="s">
        <v>1185</v>
      </c>
      <c r="G565" s="2" t="s">
        <v>1186</v>
      </c>
      <c r="H565" s="2" t="s">
        <v>24</v>
      </c>
      <c r="I565" s="6">
        <v>29.84</v>
      </c>
      <c r="J565" s="6">
        <v>286079</v>
      </c>
      <c r="K565" s="6">
        <v>1180</v>
      </c>
      <c r="L565" s="6">
        <v>0</v>
      </c>
      <c r="M565" s="6">
        <v>0</v>
      </c>
      <c r="N565" s="6">
        <v>150</v>
      </c>
      <c r="O565" s="6">
        <v>287409</v>
      </c>
      <c r="P565" s="2" t="s">
        <v>40</v>
      </c>
      <c r="Q565" s="2" t="s">
        <v>32</v>
      </c>
      <c r="R565" s="2" t="s">
        <v>652</v>
      </c>
      <c r="S565" s="5">
        <v>1</v>
      </c>
      <c r="T565" s="1">
        <v>0</v>
      </c>
      <c r="U565" s="2">
        <f t="shared" si="119"/>
        <v>1</v>
      </c>
      <c r="V565" s="1">
        <v>0</v>
      </c>
      <c r="W565" s="2">
        <f t="shared" si="116"/>
        <v>1</v>
      </c>
      <c r="X565" s="8">
        <f t="shared" si="117"/>
        <v>100</v>
      </c>
    </row>
    <row r="566" spans="1:24" ht="15" customHeight="1">
      <c r="A566" s="9">
        <v>46054</v>
      </c>
      <c r="B566" s="2" t="s">
        <v>45</v>
      </c>
      <c r="C566" s="2" t="s">
        <v>1162</v>
      </c>
      <c r="D566" s="2" t="s">
        <v>1187</v>
      </c>
      <c r="E566" s="2" t="s">
        <v>1188</v>
      </c>
      <c r="F566" s="2" t="s">
        <v>911</v>
      </c>
      <c r="G566" s="2" t="s">
        <v>1189</v>
      </c>
      <c r="H566" s="2" t="s">
        <v>24</v>
      </c>
      <c r="I566" s="6">
        <v>37.299999999999997</v>
      </c>
      <c r="J566" s="6">
        <v>575478</v>
      </c>
      <c r="K566" s="6">
        <v>1180</v>
      </c>
      <c r="L566" s="6">
        <v>0</v>
      </c>
      <c r="M566" s="6">
        <v>0</v>
      </c>
      <c r="N566" s="6">
        <v>150</v>
      </c>
      <c r="O566" s="6">
        <v>576808</v>
      </c>
      <c r="P566" s="2" t="s">
        <v>25</v>
      </c>
      <c r="Q566" s="2" t="s">
        <v>32</v>
      </c>
      <c r="R566" s="2" t="s">
        <v>50</v>
      </c>
      <c r="S566" s="5">
        <v>1</v>
      </c>
      <c r="T566" s="1">
        <v>0</v>
      </c>
      <c r="U566" s="2">
        <f>T566+S566</f>
        <v>1</v>
      </c>
      <c r="V566" s="1">
        <v>0</v>
      </c>
      <c r="W566" s="2">
        <f t="shared" si="116"/>
        <v>1</v>
      </c>
      <c r="X566" s="8">
        <f t="shared" si="117"/>
        <v>100</v>
      </c>
    </row>
    <row r="567" spans="1:24" ht="15" customHeight="1">
      <c r="A567" s="9">
        <v>46054</v>
      </c>
      <c r="B567" s="2" t="s">
        <v>45</v>
      </c>
      <c r="C567" s="2" t="s">
        <v>1162</v>
      </c>
      <c r="D567" s="2" t="s">
        <v>1630</v>
      </c>
      <c r="E567" s="2" t="s">
        <v>60</v>
      </c>
      <c r="F567" s="2" t="s">
        <v>1631</v>
      </c>
      <c r="G567" s="2" t="s">
        <v>1223</v>
      </c>
      <c r="H567" s="2" t="s">
        <v>24</v>
      </c>
      <c r="I567" s="6">
        <v>29.84</v>
      </c>
      <c r="J567" s="6">
        <v>1270</v>
      </c>
      <c r="K567" s="6">
        <v>20040</v>
      </c>
      <c r="L567" s="6">
        <v>21310</v>
      </c>
      <c r="M567" s="6">
        <v>0</v>
      </c>
      <c r="N567" s="6">
        <v>0</v>
      </c>
      <c r="O567" s="6">
        <v>0</v>
      </c>
      <c r="P567" s="2" t="s">
        <v>25</v>
      </c>
      <c r="Q567" s="2" t="s">
        <v>32</v>
      </c>
      <c r="R567" s="2" t="s">
        <v>50</v>
      </c>
      <c r="S567" s="5">
        <v>1</v>
      </c>
      <c r="T567" s="1">
        <v>0</v>
      </c>
      <c r="U567" s="2">
        <f t="shared" si="119"/>
        <v>1</v>
      </c>
      <c r="V567" s="1">
        <v>0</v>
      </c>
      <c r="W567" s="2">
        <f t="shared" si="116"/>
        <v>1</v>
      </c>
      <c r="X567" s="8">
        <f t="shared" si="117"/>
        <v>100</v>
      </c>
    </row>
    <row r="568" spans="1:24" ht="15" customHeight="1">
      <c r="A568" s="9">
        <v>46054</v>
      </c>
      <c r="B568" s="2" t="s">
        <v>45</v>
      </c>
      <c r="C568" s="2" t="s">
        <v>1162</v>
      </c>
      <c r="D568" s="2" t="s">
        <v>1190</v>
      </c>
      <c r="E568" s="2" t="s">
        <v>1188</v>
      </c>
      <c r="F568" s="2" t="s">
        <v>911</v>
      </c>
      <c r="G568" s="2" t="s">
        <v>1191</v>
      </c>
      <c r="H568" s="2" t="s">
        <v>24</v>
      </c>
      <c r="I568" s="6">
        <v>37.299999999999997</v>
      </c>
      <c r="J568" s="6">
        <v>5644997</v>
      </c>
      <c r="K568" s="6">
        <v>130322</v>
      </c>
      <c r="L568" s="6">
        <v>0</v>
      </c>
      <c r="M568" s="6">
        <v>0</v>
      </c>
      <c r="N568" s="6">
        <v>15091</v>
      </c>
      <c r="O568" s="6">
        <v>5790410</v>
      </c>
      <c r="P568" s="2" t="s">
        <v>25</v>
      </c>
      <c r="Q568" s="2" t="s">
        <v>32</v>
      </c>
      <c r="R568" s="2" t="s">
        <v>50</v>
      </c>
      <c r="S568" s="5">
        <v>1</v>
      </c>
      <c r="T568" s="1">
        <v>0</v>
      </c>
      <c r="U568" s="2">
        <f t="shared" si="119"/>
        <v>1</v>
      </c>
      <c r="V568" s="1">
        <v>0</v>
      </c>
      <c r="W568" s="2">
        <f t="shared" si="116"/>
        <v>1</v>
      </c>
      <c r="X568" s="8">
        <f t="shared" si="117"/>
        <v>100</v>
      </c>
    </row>
    <row r="569" spans="1:24" ht="15" customHeight="1">
      <c r="A569" s="9">
        <v>46054</v>
      </c>
      <c r="B569" s="2" t="s">
        <v>45</v>
      </c>
      <c r="C569" s="2" t="s">
        <v>1162</v>
      </c>
      <c r="D569" s="2" t="s">
        <v>1192</v>
      </c>
      <c r="E569" s="2" t="s">
        <v>475</v>
      </c>
      <c r="F569" s="2" t="s">
        <v>1193</v>
      </c>
      <c r="G569" s="2" t="s">
        <v>65</v>
      </c>
      <c r="H569" s="2" t="s">
        <v>24</v>
      </c>
      <c r="I569" s="6">
        <v>29.84</v>
      </c>
      <c r="J569" s="6">
        <v>49712</v>
      </c>
      <c r="K569" s="6">
        <v>561770</v>
      </c>
      <c r="L569" s="6">
        <v>613129</v>
      </c>
      <c r="M569" s="6">
        <v>0</v>
      </c>
      <c r="N569" s="6">
        <v>1647</v>
      </c>
      <c r="O569" s="6">
        <v>0</v>
      </c>
      <c r="P569" s="2" t="s">
        <v>25</v>
      </c>
      <c r="Q569" s="2" t="s">
        <v>32</v>
      </c>
      <c r="R569" s="2" t="s">
        <v>27</v>
      </c>
      <c r="S569" s="5">
        <v>1</v>
      </c>
      <c r="T569" s="1">
        <v>0</v>
      </c>
      <c r="U569" s="2">
        <f>T569+S569</f>
        <v>1</v>
      </c>
      <c r="V569" s="1">
        <v>0</v>
      </c>
      <c r="W569" s="2">
        <f t="shared" si="116"/>
        <v>1</v>
      </c>
      <c r="X569" s="8">
        <f t="shared" si="117"/>
        <v>100</v>
      </c>
    </row>
    <row r="570" spans="1:24" ht="15" customHeight="1">
      <c r="A570" s="9">
        <v>46054</v>
      </c>
      <c r="B570" s="2" t="s">
        <v>45</v>
      </c>
      <c r="C570" s="2" t="s">
        <v>1162</v>
      </c>
      <c r="D570" s="2" t="s">
        <v>1194</v>
      </c>
      <c r="E570" s="2" t="s">
        <v>475</v>
      </c>
      <c r="F570" s="2" t="s">
        <v>1195</v>
      </c>
      <c r="G570" s="2" t="s">
        <v>65</v>
      </c>
      <c r="H570" s="2" t="s">
        <v>24</v>
      </c>
      <c r="I570" s="6">
        <v>102</v>
      </c>
      <c r="J570" s="6">
        <v>19880</v>
      </c>
      <c r="K570" s="6">
        <v>426409</v>
      </c>
      <c r="L570" s="6">
        <v>446289</v>
      </c>
      <c r="M570" s="6">
        <v>0</v>
      </c>
      <c r="N570" s="6">
        <v>0</v>
      </c>
      <c r="O570" s="6">
        <v>0</v>
      </c>
      <c r="P570" s="2" t="s">
        <v>25</v>
      </c>
      <c r="Q570" s="2" t="s">
        <v>32</v>
      </c>
      <c r="R570" s="2" t="s">
        <v>27</v>
      </c>
      <c r="S570" s="5">
        <v>0</v>
      </c>
      <c r="T570" s="1">
        <v>1</v>
      </c>
      <c r="U570" s="2">
        <f t="shared" si="119"/>
        <v>1</v>
      </c>
      <c r="V570" s="1">
        <v>0</v>
      </c>
      <c r="W570" s="2">
        <f t="shared" si="116"/>
        <v>1</v>
      </c>
      <c r="X570" s="8">
        <f t="shared" si="117"/>
        <v>0</v>
      </c>
    </row>
    <row r="571" spans="1:24" ht="15" customHeight="1">
      <c r="A571" s="9">
        <v>46054</v>
      </c>
      <c r="B571" s="2" t="s">
        <v>45</v>
      </c>
      <c r="C571" s="2" t="s">
        <v>1162</v>
      </c>
      <c r="D571" s="2" t="s">
        <v>1539</v>
      </c>
      <c r="E571" s="2" t="s">
        <v>475</v>
      </c>
      <c r="F571" s="2" t="s">
        <v>720</v>
      </c>
      <c r="G571" s="2" t="s">
        <v>65</v>
      </c>
      <c r="H571" s="2" t="s">
        <v>24</v>
      </c>
      <c r="I571" s="6">
        <v>45</v>
      </c>
      <c r="J571" s="6">
        <v>50</v>
      </c>
      <c r="K571" s="6">
        <v>1180</v>
      </c>
      <c r="L571" s="6">
        <v>1230</v>
      </c>
      <c r="M571" s="6">
        <v>0</v>
      </c>
      <c r="N571" s="6">
        <v>50</v>
      </c>
      <c r="O571" s="6">
        <v>50</v>
      </c>
      <c r="P571" s="2" t="s">
        <v>25</v>
      </c>
      <c r="Q571" s="2" t="s">
        <v>32</v>
      </c>
      <c r="R571" s="2" t="s">
        <v>27</v>
      </c>
      <c r="S571" s="5">
        <v>1</v>
      </c>
      <c r="T571" s="1">
        <v>0</v>
      </c>
      <c r="U571" s="2">
        <f>T571+S571</f>
        <v>1</v>
      </c>
      <c r="V571" s="1">
        <v>0</v>
      </c>
      <c r="W571" s="2">
        <f t="shared" si="116"/>
        <v>1</v>
      </c>
      <c r="X571" s="8">
        <f t="shared" si="117"/>
        <v>100</v>
      </c>
    </row>
    <row r="572" spans="1:24">
      <c r="A572" s="9">
        <v>46054</v>
      </c>
      <c r="B572" s="2" t="s">
        <v>867</v>
      </c>
      <c r="C572" s="2" t="s">
        <v>1162</v>
      </c>
      <c r="D572" s="2" t="s">
        <v>1196</v>
      </c>
      <c r="E572" s="2" t="s">
        <v>1197</v>
      </c>
      <c r="F572" s="2" t="s">
        <v>1198</v>
      </c>
      <c r="G572" s="2" t="s">
        <v>23</v>
      </c>
      <c r="H572" s="2" t="s">
        <v>320</v>
      </c>
      <c r="I572" s="6">
        <v>11.2</v>
      </c>
      <c r="J572" s="6">
        <v>-757</v>
      </c>
      <c r="K572" s="6">
        <v>0</v>
      </c>
      <c r="L572" s="6">
        <v>0</v>
      </c>
      <c r="M572" s="6">
        <v>0</v>
      </c>
      <c r="N572" s="6">
        <v>0</v>
      </c>
      <c r="O572" s="6">
        <v>-757</v>
      </c>
      <c r="P572" s="2" t="s">
        <v>31</v>
      </c>
      <c r="Q572" s="2" t="s">
        <v>26</v>
      </c>
      <c r="R572" s="2" t="s">
        <v>33</v>
      </c>
      <c r="S572" s="5">
        <v>0</v>
      </c>
      <c r="T572" s="1">
        <v>0</v>
      </c>
      <c r="U572" s="2">
        <f>T572+S572</f>
        <v>0</v>
      </c>
      <c r="V572" s="1">
        <v>1</v>
      </c>
      <c r="W572" s="2">
        <f t="shared" si="116"/>
        <v>1</v>
      </c>
      <c r="X572" s="8" t="e">
        <f t="shared" si="117"/>
        <v>#DIV/0!</v>
      </c>
    </row>
    <row r="573" spans="1:24">
      <c r="A573" s="9">
        <v>46054</v>
      </c>
      <c r="B573" s="2" t="s">
        <v>95</v>
      </c>
      <c r="C573" s="2" t="s">
        <v>1162</v>
      </c>
      <c r="D573" s="2" t="s">
        <v>1199</v>
      </c>
      <c r="E573" s="2" t="s">
        <v>475</v>
      </c>
      <c r="F573" s="2" t="s">
        <v>1200</v>
      </c>
      <c r="G573" s="2" t="s">
        <v>65</v>
      </c>
      <c r="H573" s="2" t="s">
        <v>24</v>
      </c>
      <c r="I573" s="6">
        <v>20</v>
      </c>
      <c r="J573" s="6">
        <v>39511</v>
      </c>
      <c r="K573" s="6">
        <v>456040</v>
      </c>
      <c r="L573" s="6">
        <v>495551</v>
      </c>
      <c r="M573" s="6">
        <v>0</v>
      </c>
      <c r="N573" s="6">
        <v>18977</v>
      </c>
      <c r="O573" s="6">
        <v>18977</v>
      </c>
      <c r="P573" s="2" t="s">
        <v>25</v>
      </c>
      <c r="Q573" s="2" t="s">
        <v>32</v>
      </c>
      <c r="R573" s="2" t="s">
        <v>27</v>
      </c>
      <c r="S573" s="5">
        <v>1</v>
      </c>
      <c r="T573" s="1">
        <v>0</v>
      </c>
      <c r="U573" s="2">
        <f t="shared" si="119"/>
        <v>1</v>
      </c>
      <c r="V573" s="1">
        <v>0</v>
      </c>
      <c r="W573" s="2">
        <f t="shared" si="116"/>
        <v>1</v>
      </c>
      <c r="X573" s="8">
        <f t="shared" si="117"/>
        <v>100</v>
      </c>
    </row>
    <row r="574" spans="1:24">
      <c r="A574" s="9">
        <v>46054</v>
      </c>
      <c r="B574" s="2" t="s">
        <v>95</v>
      </c>
      <c r="C574" s="2" t="s">
        <v>1162</v>
      </c>
      <c r="D574" s="2" t="s">
        <v>1201</v>
      </c>
      <c r="E574" s="2" t="s">
        <v>475</v>
      </c>
      <c r="F574" s="2" t="s">
        <v>1202</v>
      </c>
      <c r="G574" s="2" t="s">
        <v>65</v>
      </c>
      <c r="H574" s="2" t="s">
        <v>24</v>
      </c>
      <c r="I574" s="6">
        <v>22.38</v>
      </c>
      <c r="J574" s="6">
        <v>2166</v>
      </c>
      <c r="K574" s="6">
        <v>81197</v>
      </c>
      <c r="L574" s="6">
        <v>83363</v>
      </c>
      <c r="M574" s="6">
        <v>0</v>
      </c>
      <c r="N574" s="6">
        <v>3381</v>
      </c>
      <c r="O574" s="6">
        <v>3381</v>
      </c>
      <c r="P574" s="2" t="s">
        <v>25</v>
      </c>
      <c r="Q574" s="2" t="s">
        <v>32</v>
      </c>
      <c r="R574" s="2" t="s">
        <v>27</v>
      </c>
      <c r="S574" s="5">
        <v>1</v>
      </c>
      <c r="T574" s="1">
        <v>0</v>
      </c>
      <c r="U574" s="2">
        <f t="shared" si="119"/>
        <v>1</v>
      </c>
      <c r="V574" s="1">
        <v>0</v>
      </c>
      <c r="W574" s="2">
        <f t="shared" si="116"/>
        <v>1</v>
      </c>
      <c r="X574" s="8">
        <f t="shared" si="117"/>
        <v>100</v>
      </c>
    </row>
    <row r="575" spans="1:24">
      <c r="A575" s="9">
        <v>46054</v>
      </c>
      <c r="B575" s="2" t="s">
        <v>95</v>
      </c>
      <c r="C575" s="2" t="s">
        <v>1162</v>
      </c>
      <c r="D575" s="2" t="s">
        <v>1203</v>
      </c>
      <c r="E575" s="2" t="s">
        <v>475</v>
      </c>
      <c r="F575" s="2" t="s">
        <v>1204</v>
      </c>
      <c r="G575" s="2" t="s">
        <v>65</v>
      </c>
      <c r="H575" s="2" t="s">
        <v>24</v>
      </c>
      <c r="I575" s="6">
        <v>22.38</v>
      </c>
      <c r="J575" s="6">
        <v>50</v>
      </c>
      <c r="K575" s="6">
        <v>1180</v>
      </c>
      <c r="L575" s="6">
        <v>1230</v>
      </c>
      <c r="M575" s="6">
        <v>0</v>
      </c>
      <c r="N575" s="6">
        <v>50</v>
      </c>
      <c r="O575" s="6">
        <v>50</v>
      </c>
      <c r="P575" s="2" t="s">
        <v>25</v>
      </c>
      <c r="Q575" s="2" t="s">
        <v>32</v>
      </c>
      <c r="R575" s="2" t="s">
        <v>27</v>
      </c>
      <c r="S575" s="5">
        <v>1</v>
      </c>
      <c r="T575" s="1">
        <v>0</v>
      </c>
      <c r="U575" s="2">
        <f t="shared" si="119"/>
        <v>1</v>
      </c>
      <c r="V575" s="1">
        <v>0</v>
      </c>
      <c r="W575" s="2">
        <f t="shared" si="116"/>
        <v>1</v>
      </c>
      <c r="X575" s="8">
        <f t="shared" si="117"/>
        <v>100</v>
      </c>
    </row>
    <row r="576" spans="1:24">
      <c r="A576" s="9">
        <v>46054</v>
      </c>
      <c r="B576" s="2" t="s">
        <v>95</v>
      </c>
      <c r="C576" s="2" t="s">
        <v>1162</v>
      </c>
      <c r="D576" s="2" t="s">
        <v>1205</v>
      </c>
      <c r="E576" s="2" t="s">
        <v>475</v>
      </c>
      <c r="F576" s="2" t="s">
        <v>1206</v>
      </c>
      <c r="G576" s="2" t="s">
        <v>65</v>
      </c>
      <c r="H576" s="2" t="s">
        <v>24</v>
      </c>
      <c r="I576" s="6">
        <v>22.38</v>
      </c>
      <c r="J576" s="6">
        <v>5253</v>
      </c>
      <c r="K576" s="6">
        <v>160572</v>
      </c>
      <c r="L576" s="6">
        <v>165825</v>
      </c>
      <c r="M576" s="6">
        <v>0</v>
      </c>
      <c r="N576" s="6">
        <v>6680</v>
      </c>
      <c r="O576" s="6">
        <v>6680</v>
      </c>
      <c r="P576" s="2" t="s">
        <v>25</v>
      </c>
      <c r="Q576" s="2" t="s">
        <v>32</v>
      </c>
      <c r="R576" s="2" t="s">
        <v>27</v>
      </c>
      <c r="S576" s="5">
        <v>0</v>
      </c>
      <c r="T576" s="1">
        <v>1</v>
      </c>
      <c r="U576" s="2">
        <f t="shared" si="119"/>
        <v>1</v>
      </c>
      <c r="V576" s="1">
        <v>0</v>
      </c>
      <c r="W576" s="2">
        <f t="shared" si="116"/>
        <v>1</v>
      </c>
      <c r="X576" s="8">
        <f t="shared" si="117"/>
        <v>0</v>
      </c>
    </row>
    <row r="577" spans="1:24">
      <c r="A577" s="9">
        <v>46054</v>
      </c>
      <c r="B577" s="2" t="s">
        <v>95</v>
      </c>
      <c r="C577" s="2" t="s">
        <v>1162</v>
      </c>
      <c r="D577" s="2" t="s">
        <v>1207</v>
      </c>
      <c r="E577" s="2" t="s">
        <v>949</v>
      </c>
      <c r="F577" s="2" t="s">
        <v>1174</v>
      </c>
      <c r="G577" s="2" t="s">
        <v>1208</v>
      </c>
      <c r="H577" s="2" t="s">
        <v>24</v>
      </c>
      <c r="I577" s="6">
        <v>22.38</v>
      </c>
      <c r="J577" s="6">
        <v>9926</v>
      </c>
      <c r="K577" s="6">
        <v>2715</v>
      </c>
      <c r="L577" s="6">
        <v>12641</v>
      </c>
      <c r="M577" s="6">
        <v>0</v>
      </c>
      <c r="N577" s="6">
        <v>50</v>
      </c>
      <c r="O577" s="6">
        <v>50</v>
      </c>
      <c r="P577" s="2" t="s">
        <v>25</v>
      </c>
      <c r="Q577" s="2" t="s">
        <v>32</v>
      </c>
      <c r="R577" s="2" t="s">
        <v>50</v>
      </c>
      <c r="S577" s="5">
        <v>1</v>
      </c>
      <c r="T577" s="1">
        <v>0</v>
      </c>
      <c r="U577" s="2">
        <f t="shared" si="119"/>
        <v>1</v>
      </c>
      <c r="V577" s="1">
        <v>0</v>
      </c>
      <c r="W577" s="2">
        <f t="shared" si="116"/>
        <v>1</v>
      </c>
      <c r="X577" s="8">
        <f t="shared" si="117"/>
        <v>100</v>
      </c>
    </row>
    <row r="578" spans="1:24" ht="15" customHeight="1">
      <c r="A578" s="9">
        <v>46054</v>
      </c>
      <c r="B578" s="2" t="s">
        <v>95</v>
      </c>
      <c r="C578" s="2" t="s">
        <v>1162</v>
      </c>
      <c r="D578" s="2" t="s">
        <v>1209</v>
      </c>
      <c r="E578" s="2" t="s">
        <v>475</v>
      </c>
      <c r="F578" s="2" t="s">
        <v>1210</v>
      </c>
      <c r="G578" s="2" t="s">
        <v>65</v>
      </c>
      <c r="H578" s="2" t="s">
        <v>24</v>
      </c>
      <c r="I578" s="6">
        <v>22.38</v>
      </c>
      <c r="J578" s="6">
        <v>50</v>
      </c>
      <c r="K578" s="6">
        <v>1180</v>
      </c>
      <c r="L578" s="6">
        <v>1230</v>
      </c>
      <c r="M578" s="6">
        <v>0</v>
      </c>
      <c r="N578" s="6">
        <v>50</v>
      </c>
      <c r="O578" s="6">
        <v>50</v>
      </c>
      <c r="P578" s="2" t="s">
        <v>25</v>
      </c>
      <c r="Q578" s="2" t="s">
        <v>32</v>
      </c>
      <c r="R578" s="2" t="s">
        <v>27</v>
      </c>
      <c r="S578" s="5">
        <v>1</v>
      </c>
      <c r="T578" s="1">
        <v>0</v>
      </c>
      <c r="U578" s="2">
        <f>T578+S578</f>
        <v>1</v>
      </c>
      <c r="V578" s="1">
        <v>0</v>
      </c>
      <c r="W578" s="2">
        <f>V578+U578</f>
        <v>1</v>
      </c>
      <c r="X578" s="8">
        <v>0</v>
      </c>
    </row>
    <row r="579" spans="1:24" ht="15" customHeight="1">
      <c r="A579" s="9">
        <v>46054</v>
      </c>
      <c r="B579" s="2" t="s">
        <v>95</v>
      </c>
      <c r="C579" s="2" t="s">
        <v>1162</v>
      </c>
      <c r="D579" s="2" t="s">
        <v>1211</v>
      </c>
      <c r="E579" s="2" t="s">
        <v>475</v>
      </c>
      <c r="F579" s="2" t="s">
        <v>1212</v>
      </c>
      <c r="G579" s="2" t="s">
        <v>1213</v>
      </c>
      <c r="H579" s="2" t="s">
        <v>24</v>
      </c>
      <c r="I579" s="6">
        <v>15</v>
      </c>
      <c r="J579" s="6">
        <v>12002</v>
      </c>
      <c r="K579" s="6">
        <v>293120</v>
      </c>
      <c r="L579" s="6">
        <v>305122</v>
      </c>
      <c r="M579" s="6">
        <v>0</v>
      </c>
      <c r="N579" s="6">
        <v>12173</v>
      </c>
      <c r="O579" s="6">
        <v>12173</v>
      </c>
      <c r="P579" s="2" t="s">
        <v>25</v>
      </c>
      <c r="Q579" s="2" t="s">
        <v>32</v>
      </c>
      <c r="R579" s="2" t="s">
        <v>27</v>
      </c>
      <c r="S579" s="5">
        <v>1</v>
      </c>
      <c r="T579" s="1">
        <v>0</v>
      </c>
      <c r="U579" s="2">
        <f>T579+S579</f>
        <v>1</v>
      </c>
      <c r="V579" s="1">
        <v>0</v>
      </c>
      <c r="W579" s="2">
        <f t="shared" ref="W579:W597" si="120">V579+U579</f>
        <v>1</v>
      </c>
      <c r="X579" s="8">
        <f t="shared" ref="X579:X597" si="121">100/U579*S579</f>
        <v>100</v>
      </c>
    </row>
    <row r="580" spans="1:24">
      <c r="A580" s="9">
        <v>46054</v>
      </c>
      <c r="B580" s="2" t="s">
        <v>95</v>
      </c>
      <c r="C580" s="2" t="s">
        <v>1162</v>
      </c>
      <c r="D580" s="2" t="s">
        <v>1214</v>
      </c>
      <c r="E580" s="2" t="s">
        <v>475</v>
      </c>
      <c r="F580" s="2" t="s">
        <v>1215</v>
      </c>
      <c r="G580" s="2" t="s">
        <v>1088</v>
      </c>
      <c r="H580" s="2" t="s">
        <v>24</v>
      </c>
      <c r="I580" s="6">
        <v>22.38</v>
      </c>
      <c r="J580" s="6">
        <v>9511</v>
      </c>
      <c r="K580" s="6">
        <v>266389</v>
      </c>
      <c r="L580" s="6">
        <v>275900</v>
      </c>
      <c r="M580" s="6">
        <v>0</v>
      </c>
      <c r="N580" s="6">
        <v>11072</v>
      </c>
      <c r="O580" s="6">
        <v>11072</v>
      </c>
      <c r="P580" s="2" t="s">
        <v>25</v>
      </c>
      <c r="Q580" s="2" t="s">
        <v>32</v>
      </c>
      <c r="R580" s="2" t="s">
        <v>27</v>
      </c>
      <c r="S580" s="5">
        <v>1</v>
      </c>
      <c r="T580" s="1">
        <v>0</v>
      </c>
      <c r="U580" s="2">
        <f>T580+S580</f>
        <v>1</v>
      </c>
      <c r="V580" s="1">
        <v>0</v>
      </c>
      <c r="W580" s="2">
        <f>V580+U580</f>
        <v>1</v>
      </c>
      <c r="X580" s="8">
        <f t="shared" si="121"/>
        <v>100</v>
      </c>
    </row>
    <row r="581" spans="1:24">
      <c r="A581" s="9">
        <v>46054</v>
      </c>
      <c r="B581" s="2" t="s">
        <v>95</v>
      </c>
      <c r="C581" s="2" t="s">
        <v>1162</v>
      </c>
      <c r="D581" s="2" t="s">
        <v>1216</v>
      </c>
      <c r="E581" s="2" t="s">
        <v>475</v>
      </c>
      <c r="F581" s="2" t="s">
        <v>1217</v>
      </c>
      <c r="G581" s="2" t="s">
        <v>887</v>
      </c>
      <c r="H581" s="2" t="s">
        <v>24</v>
      </c>
      <c r="I581" s="6">
        <v>22.38</v>
      </c>
      <c r="J581" s="6">
        <v>50</v>
      </c>
      <c r="K581" s="6">
        <v>1180</v>
      </c>
      <c r="L581" s="6">
        <v>1230</v>
      </c>
      <c r="M581" s="6">
        <v>0</v>
      </c>
      <c r="N581" s="6">
        <v>50</v>
      </c>
      <c r="O581" s="6">
        <v>50</v>
      </c>
      <c r="P581" s="2" t="s">
        <v>25</v>
      </c>
      <c r="Q581" s="2" t="s">
        <v>32</v>
      </c>
      <c r="R581" s="2" t="s">
        <v>27</v>
      </c>
      <c r="S581" s="5">
        <v>1</v>
      </c>
      <c r="T581" s="1">
        <v>0</v>
      </c>
      <c r="U581" s="2">
        <f>T581+S581</f>
        <v>1</v>
      </c>
      <c r="V581" s="1">
        <v>0</v>
      </c>
      <c r="W581" s="2">
        <f t="shared" si="120"/>
        <v>1</v>
      </c>
      <c r="X581" s="8">
        <f t="shared" si="121"/>
        <v>100</v>
      </c>
    </row>
    <row r="582" spans="1:24">
      <c r="A582" s="9">
        <v>46054</v>
      </c>
      <c r="B582" s="2" t="s">
        <v>95</v>
      </c>
      <c r="C582" s="2" t="s">
        <v>1162</v>
      </c>
      <c r="D582" s="2" t="s">
        <v>1218</v>
      </c>
      <c r="E582" s="2" t="s">
        <v>475</v>
      </c>
      <c r="F582" s="2" t="s">
        <v>1219</v>
      </c>
      <c r="G582" s="2" t="s">
        <v>1220</v>
      </c>
      <c r="H582" s="2" t="s">
        <v>24</v>
      </c>
      <c r="I582" s="6">
        <v>22.38</v>
      </c>
      <c r="J582" s="6">
        <v>951681</v>
      </c>
      <c r="K582" s="6">
        <v>69289</v>
      </c>
      <c r="L582" s="6">
        <v>0</v>
      </c>
      <c r="M582" s="6">
        <v>0</v>
      </c>
      <c r="N582" s="6">
        <v>2859</v>
      </c>
      <c r="O582" s="6">
        <v>1023829</v>
      </c>
      <c r="P582" s="2" t="s">
        <v>25</v>
      </c>
      <c r="Q582" s="2" t="s">
        <v>32</v>
      </c>
      <c r="R582" s="2" t="s">
        <v>27</v>
      </c>
      <c r="S582" s="5">
        <v>1</v>
      </c>
      <c r="T582" s="1">
        <v>0</v>
      </c>
      <c r="U582" s="2">
        <f>T582+S582</f>
        <v>1</v>
      </c>
      <c r="V582" s="1">
        <v>0</v>
      </c>
      <c r="W582" s="2">
        <f t="shared" si="120"/>
        <v>1</v>
      </c>
      <c r="X582" s="8">
        <f t="shared" si="121"/>
        <v>100</v>
      </c>
    </row>
    <row r="583" spans="1:24">
      <c r="A583" s="9">
        <v>46054</v>
      </c>
      <c r="B583" s="2" t="s">
        <v>95</v>
      </c>
      <c r="C583" s="2" t="s">
        <v>1162</v>
      </c>
      <c r="D583" s="2" t="s">
        <v>1221</v>
      </c>
      <c r="E583" s="2" t="s">
        <v>475</v>
      </c>
      <c r="F583" s="2" t="s">
        <v>1222</v>
      </c>
      <c r="G583" s="2" t="s">
        <v>1223</v>
      </c>
      <c r="H583" s="2" t="s">
        <v>24</v>
      </c>
      <c r="I583" s="6">
        <v>25</v>
      </c>
      <c r="J583" s="6">
        <v>50</v>
      </c>
      <c r="K583" s="6">
        <v>1180</v>
      </c>
      <c r="L583" s="6">
        <v>1230</v>
      </c>
      <c r="M583" s="6">
        <v>0</v>
      </c>
      <c r="N583" s="6">
        <v>50</v>
      </c>
      <c r="O583" s="6">
        <v>50</v>
      </c>
      <c r="P583" s="2" t="s">
        <v>25</v>
      </c>
      <c r="Q583" s="2" t="s">
        <v>32</v>
      </c>
      <c r="R583" s="2" t="s">
        <v>27</v>
      </c>
      <c r="S583" s="5">
        <v>1</v>
      </c>
      <c r="T583" s="1">
        <v>0</v>
      </c>
      <c r="U583" s="2">
        <f t="shared" ref="U583:U597" si="122">T583+S583</f>
        <v>1</v>
      </c>
      <c r="V583" s="1">
        <v>0</v>
      </c>
      <c r="W583" s="2">
        <f t="shared" si="120"/>
        <v>1</v>
      </c>
      <c r="X583" s="8">
        <f t="shared" si="121"/>
        <v>100</v>
      </c>
    </row>
    <row r="584" spans="1:24">
      <c r="A584" s="9">
        <v>46054</v>
      </c>
      <c r="B584" s="2" t="s">
        <v>95</v>
      </c>
      <c r="C584" s="2" t="s">
        <v>1162</v>
      </c>
      <c r="D584" s="2" t="s">
        <v>1224</v>
      </c>
      <c r="E584" s="2" t="s">
        <v>475</v>
      </c>
      <c r="F584" s="2" t="s">
        <v>1225</v>
      </c>
      <c r="G584" s="2" t="s">
        <v>1223</v>
      </c>
      <c r="H584" s="2" t="s">
        <v>24</v>
      </c>
      <c r="I584" s="6">
        <v>22.38</v>
      </c>
      <c r="J584" s="6">
        <v>50</v>
      </c>
      <c r="K584" s="6">
        <v>1180</v>
      </c>
      <c r="L584" s="6">
        <v>1230</v>
      </c>
      <c r="M584" s="6">
        <v>0</v>
      </c>
      <c r="N584" s="6">
        <v>50</v>
      </c>
      <c r="O584" s="6">
        <v>50</v>
      </c>
      <c r="P584" s="2" t="s">
        <v>25</v>
      </c>
      <c r="Q584" s="2" t="s">
        <v>32</v>
      </c>
      <c r="R584" s="2" t="s">
        <v>27</v>
      </c>
      <c r="S584" s="5">
        <v>1</v>
      </c>
      <c r="T584" s="1">
        <v>0</v>
      </c>
      <c r="U584" s="2">
        <f t="shared" si="122"/>
        <v>1</v>
      </c>
      <c r="V584" s="1">
        <v>0</v>
      </c>
      <c r="W584" s="2">
        <f t="shared" si="120"/>
        <v>1</v>
      </c>
      <c r="X584" s="8">
        <f t="shared" si="121"/>
        <v>100</v>
      </c>
    </row>
    <row r="585" spans="1:24">
      <c r="A585" s="9">
        <v>46054</v>
      </c>
      <c r="B585" s="2" t="s">
        <v>95</v>
      </c>
      <c r="C585" s="2" t="s">
        <v>1162</v>
      </c>
      <c r="D585" s="2" t="s">
        <v>1226</v>
      </c>
      <c r="E585" s="2" t="s">
        <v>475</v>
      </c>
      <c r="F585" s="2" t="s">
        <v>1227</v>
      </c>
      <c r="G585" s="2" t="s">
        <v>1067</v>
      </c>
      <c r="H585" s="2" t="s">
        <v>24</v>
      </c>
      <c r="I585" s="6">
        <v>18.649999999999999</v>
      </c>
      <c r="J585" s="6">
        <v>11567</v>
      </c>
      <c r="K585" s="6">
        <v>281011</v>
      </c>
      <c r="L585" s="6">
        <v>292578</v>
      </c>
      <c r="M585" s="6">
        <v>0</v>
      </c>
      <c r="N585" s="6">
        <v>11641</v>
      </c>
      <c r="O585" s="6">
        <v>11641</v>
      </c>
      <c r="P585" s="2" t="s">
        <v>25</v>
      </c>
      <c r="Q585" s="2" t="s">
        <v>32</v>
      </c>
      <c r="R585" s="2" t="s">
        <v>27</v>
      </c>
      <c r="S585" s="5">
        <v>1</v>
      </c>
      <c r="T585" s="1">
        <v>0</v>
      </c>
      <c r="U585" s="2">
        <f>T585+S585</f>
        <v>1</v>
      </c>
      <c r="V585" s="1">
        <v>0</v>
      </c>
      <c r="W585" s="2">
        <f t="shared" si="120"/>
        <v>1</v>
      </c>
      <c r="X585" s="8">
        <f t="shared" si="121"/>
        <v>100</v>
      </c>
    </row>
    <row r="586" spans="1:24">
      <c r="A586" s="9">
        <v>46054</v>
      </c>
      <c r="B586" s="2" t="s">
        <v>95</v>
      </c>
      <c r="C586" s="2" t="s">
        <v>1162</v>
      </c>
      <c r="D586" s="2" t="s">
        <v>1228</v>
      </c>
      <c r="E586" s="2" t="s">
        <v>475</v>
      </c>
      <c r="F586" s="2" t="s">
        <v>1229</v>
      </c>
      <c r="G586" s="2" t="s">
        <v>1067</v>
      </c>
      <c r="H586" s="2" t="s">
        <v>24</v>
      </c>
      <c r="I586" s="6">
        <v>22</v>
      </c>
      <c r="J586" s="6">
        <v>50</v>
      </c>
      <c r="K586" s="6">
        <v>1180</v>
      </c>
      <c r="L586" s="6">
        <v>1230</v>
      </c>
      <c r="M586" s="6">
        <v>0</v>
      </c>
      <c r="N586" s="6">
        <v>50</v>
      </c>
      <c r="O586" s="6">
        <v>50</v>
      </c>
      <c r="P586" s="2" t="s">
        <v>25</v>
      </c>
      <c r="Q586" s="2" t="s">
        <v>32</v>
      </c>
      <c r="R586" s="2" t="s">
        <v>27</v>
      </c>
      <c r="S586" s="5">
        <v>1</v>
      </c>
      <c r="T586" s="1">
        <v>0</v>
      </c>
      <c r="U586" s="2">
        <f t="shared" si="122"/>
        <v>1</v>
      </c>
      <c r="V586" s="1">
        <v>0</v>
      </c>
      <c r="W586" s="2">
        <f t="shared" si="120"/>
        <v>1</v>
      </c>
      <c r="X586" s="8">
        <f t="shared" si="121"/>
        <v>100</v>
      </c>
    </row>
    <row r="587" spans="1:24">
      <c r="A587" s="9">
        <v>46054</v>
      </c>
      <c r="B587" s="2" t="s">
        <v>95</v>
      </c>
      <c r="C587" s="2" t="s">
        <v>1162</v>
      </c>
      <c r="D587" s="2" t="s">
        <v>1230</v>
      </c>
      <c r="E587" s="2" t="s">
        <v>475</v>
      </c>
      <c r="F587" s="2" t="s">
        <v>1231</v>
      </c>
      <c r="G587" s="2" t="s">
        <v>1232</v>
      </c>
      <c r="H587" s="2" t="s">
        <v>24</v>
      </c>
      <c r="I587" s="6">
        <v>22.38</v>
      </c>
      <c r="J587" s="6">
        <v>623</v>
      </c>
      <c r="K587" s="6">
        <v>17831</v>
      </c>
      <c r="L587" s="6">
        <v>18454</v>
      </c>
      <c r="M587" s="6">
        <v>0</v>
      </c>
      <c r="N587" s="6">
        <v>743</v>
      </c>
      <c r="O587" s="6">
        <v>743</v>
      </c>
      <c r="P587" s="2" t="s">
        <v>25</v>
      </c>
      <c r="Q587" s="2" t="s">
        <v>32</v>
      </c>
      <c r="R587" s="2" t="s">
        <v>27</v>
      </c>
      <c r="S587" s="5">
        <v>1</v>
      </c>
      <c r="T587" s="1">
        <v>0</v>
      </c>
      <c r="U587" s="2">
        <f t="shared" si="122"/>
        <v>1</v>
      </c>
      <c r="V587" s="1">
        <v>0</v>
      </c>
      <c r="W587" s="2">
        <f t="shared" si="120"/>
        <v>1</v>
      </c>
      <c r="X587" s="8">
        <f t="shared" si="121"/>
        <v>100</v>
      </c>
    </row>
    <row r="588" spans="1:24" ht="15" customHeight="1">
      <c r="A588" s="9">
        <v>46054</v>
      </c>
      <c r="B588" s="2" t="s">
        <v>95</v>
      </c>
      <c r="C588" s="2" t="s">
        <v>1162</v>
      </c>
      <c r="D588" s="2" t="s">
        <v>1233</v>
      </c>
      <c r="E588" s="2" t="s">
        <v>475</v>
      </c>
      <c r="F588" s="2" t="s">
        <v>1234</v>
      </c>
      <c r="G588" s="2" t="s">
        <v>1235</v>
      </c>
      <c r="H588" s="2" t="s">
        <v>24</v>
      </c>
      <c r="I588" s="6">
        <v>22.38</v>
      </c>
      <c r="J588" s="6">
        <v>50</v>
      </c>
      <c r="K588" s="6">
        <v>1180</v>
      </c>
      <c r="L588" s="6">
        <v>1230</v>
      </c>
      <c r="M588" s="6">
        <v>0</v>
      </c>
      <c r="N588" s="6">
        <v>50</v>
      </c>
      <c r="O588" s="6">
        <v>50</v>
      </c>
      <c r="P588" s="2" t="s">
        <v>25</v>
      </c>
      <c r="Q588" s="2" t="s">
        <v>32</v>
      </c>
      <c r="R588" s="2" t="s">
        <v>27</v>
      </c>
      <c r="S588" s="5">
        <v>1</v>
      </c>
      <c r="T588" s="1">
        <v>0</v>
      </c>
      <c r="U588" s="2">
        <f t="shared" si="122"/>
        <v>1</v>
      </c>
      <c r="V588" s="1">
        <v>0</v>
      </c>
      <c r="W588" s="2">
        <f t="shared" si="120"/>
        <v>1</v>
      </c>
      <c r="X588" s="8">
        <f t="shared" si="121"/>
        <v>100</v>
      </c>
    </row>
    <row r="589" spans="1:24" ht="15" customHeight="1">
      <c r="A589" s="9">
        <v>46054</v>
      </c>
      <c r="B589" s="2" t="s">
        <v>45</v>
      </c>
      <c r="C589" s="2" t="s">
        <v>1236</v>
      </c>
      <c r="D589" s="2" t="s">
        <v>1237</v>
      </c>
      <c r="E589" s="2" t="s">
        <v>1238</v>
      </c>
      <c r="F589" s="2" t="s">
        <v>1239</v>
      </c>
      <c r="G589" s="2"/>
      <c r="H589" s="2" t="s">
        <v>1240</v>
      </c>
      <c r="I589" s="6">
        <v>136.97</v>
      </c>
      <c r="J589" s="6">
        <v>486566</v>
      </c>
      <c r="K589" s="6">
        <v>87763</v>
      </c>
      <c r="L589" s="6">
        <v>0</v>
      </c>
      <c r="M589" s="6">
        <v>0</v>
      </c>
      <c r="N589" s="6">
        <v>11157</v>
      </c>
      <c r="O589" s="6">
        <v>585486</v>
      </c>
      <c r="P589" s="2" t="s">
        <v>40</v>
      </c>
      <c r="Q589" s="2" t="s">
        <v>32</v>
      </c>
      <c r="R589" s="2" t="s">
        <v>1241</v>
      </c>
      <c r="S589" s="5">
        <v>0</v>
      </c>
      <c r="T589" s="1">
        <v>1</v>
      </c>
      <c r="U589" s="2">
        <f t="shared" ref="U589:U594" si="123">T589+S589</f>
        <v>1</v>
      </c>
      <c r="V589" s="1">
        <v>0</v>
      </c>
      <c r="W589" s="2">
        <f t="shared" si="120"/>
        <v>1</v>
      </c>
      <c r="X589" s="8">
        <f t="shared" si="121"/>
        <v>0</v>
      </c>
    </row>
    <row r="590" spans="1:24" ht="15" customHeight="1">
      <c r="A590" s="9">
        <v>46054</v>
      </c>
      <c r="B590" s="2" t="s">
        <v>18</v>
      </c>
      <c r="C590" s="2" t="s">
        <v>1242</v>
      </c>
      <c r="D590" s="2" t="s">
        <v>1243</v>
      </c>
      <c r="E590" s="2" t="s">
        <v>1244</v>
      </c>
      <c r="F590" s="2" t="s">
        <v>1245</v>
      </c>
      <c r="G590" s="2" t="s">
        <v>1245</v>
      </c>
      <c r="H590" s="2" t="s">
        <v>24</v>
      </c>
      <c r="I590" s="6">
        <v>3</v>
      </c>
      <c r="J590" s="6">
        <v>177896</v>
      </c>
      <c r="K590" s="6">
        <v>22989</v>
      </c>
      <c r="L590" s="6">
        <v>0</v>
      </c>
      <c r="M590" s="6">
        <v>0</v>
      </c>
      <c r="N590" s="6">
        <v>1472</v>
      </c>
      <c r="O590" s="6">
        <v>202357</v>
      </c>
      <c r="P590" s="2" t="s">
        <v>1246</v>
      </c>
      <c r="Q590" s="2" t="s">
        <v>32</v>
      </c>
      <c r="R590" s="2" t="s">
        <v>1247</v>
      </c>
      <c r="S590" s="5">
        <v>0</v>
      </c>
      <c r="T590" s="1">
        <v>1</v>
      </c>
      <c r="U590" s="2">
        <f>T590+S590</f>
        <v>1</v>
      </c>
      <c r="V590" s="1">
        <v>0</v>
      </c>
      <c r="W590" s="2">
        <f t="shared" si="120"/>
        <v>1</v>
      </c>
      <c r="X590" s="8">
        <f t="shared" si="121"/>
        <v>0</v>
      </c>
    </row>
    <row r="591" spans="1:24" ht="15" customHeight="1">
      <c r="A591" s="9">
        <v>46054</v>
      </c>
      <c r="B591" s="2" t="s">
        <v>18</v>
      </c>
      <c r="C591" s="2" t="s">
        <v>1248</v>
      </c>
      <c r="D591" s="2" t="s">
        <v>1249</v>
      </c>
      <c r="E591" s="2" t="s">
        <v>1250</v>
      </c>
      <c r="F591" s="2" t="s">
        <v>1251</v>
      </c>
      <c r="G591" s="2" t="s">
        <v>1252</v>
      </c>
      <c r="H591" s="2" t="s">
        <v>24</v>
      </c>
      <c r="I591" s="6">
        <v>10</v>
      </c>
      <c r="J591" s="6">
        <v>1466</v>
      </c>
      <c r="K591" s="6">
        <v>2918</v>
      </c>
      <c r="L591" s="6">
        <v>1513</v>
      </c>
      <c r="M591" s="6">
        <v>0</v>
      </c>
      <c r="N591" s="6">
        <v>62</v>
      </c>
      <c r="O591" s="6">
        <v>2933</v>
      </c>
      <c r="P591" s="2" t="s">
        <v>1253</v>
      </c>
      <c r="Q591" s="2" t="s">
        <v>32</v>
      </c>
      <c r="R591" s="2" t="s">
        <v>1254</v>
      </c>
      <c r="S591" s="5">
        <v>1</v>
      </c>
      <c r="T591" s="1">
        <v>0</v>
      </c>
      <c r="U591" s="2">
        <f t="shared" si="123"/>
        <v>1</v>
      </c>
      <c r="V591" s="1">
        <v>0</v>
      </c>
      <c r="W591" s="2">
        <f t="shared" si="120"/>
        <v>1</v>
      </c>
      <c r="X591" s="8">
        <f t="shared" si="121"/>
        <v>100</v>
      </c>
    </row>
    <row r="592" spans="1:24" ht="15" customHeight="1">
      <c r="A592" s="9">
        <v>46054</v>
      </c>
      <c r="B592" s="2" t="s">
        <v>45</v>
      </c>
      <c r="C592" s="2" t="s">
        <v>1255</v>
      </c>
      <c r="D592" s="2" t="s">
        <v>1256</v>
      </c>
      <c r="E592" s="2" t="s">
        <v>1257</v>
      </c>
      <c r="F592" s="2" t="s">
        <v>1258</v>
      </c>
      <c r="G592" s="2" t="s">
        <v>1259</v>
      </c>
      <c r="H592" s="2" t="s">
        <v>24</v>
      </c>
      <c r="I592" s="6">
        <v>29.84</v>
      </c>
      <c r="J592" s="6">
        <v>12547369</v>
      </c>
      <c r="K592" s="6">
        <v>291447</v>
      </c>
      <c r="L592" s="6">
        <v>0</v>
      </c>
      <c r="M592" s="6">
        <v>0</v>
      </c>
      <c r="N592" s="6">
        <v>35316</v>
      </c>
      <c r="O592" s="6">
        <v>12874132</v>
      </c>
      <c r="P592" s="2" t="s">
        <v>40</v>
      </c>
      <c r="Q592" s="2" t="s">
        <v>32</v>
      </c>
      <c r="R592" s="2" t="s">
        <v>50</v>
      </c>
      <c r="S592" s="5">
        <v>1</v>
      </c>
      <c r="T592" s="1">
        <v>0</v>
      </c>
      <c r="U592" s="2">
        <f t="shared" si="123"/>
        <v>1</v>
      </c>
      <c r="V592" s="1">
        <v>0</v>
      </c>
      <c r="W592" s="2">
        <f>V592+U592</f>
        <v>1</v>
      </c>
      <c r="X592" s="8">
        <f t="shared" si="121"/>
        <v>100</v>
      </c>
    </row>
    <row r="593" spans="1:24" ht="15" customHeight="1">
      <c r="A593" s="9">
        <v>46054</v>
      </c>
      <c r="B593" s="2" t="s">
        <v>45</v>
      </c>
      <c r="C593" s="2" t="s">
        <v>1255</v>
      </c>
      <c r="D593" s="2" t="s">
        <v>1260</v>
      </c>
      <c r="E593" s="2" t="s">
        <v>1257</v>
      </c>
      <c r="F593" s="2" t="s">
        <v>1261</v>
      </c>
      <c r="G593" s="2" t="s">
        <v>1259</v>
      </c>
      <c r="H593" s="2" t="s">
        <v>24</v>
      </c>
      <c r="I593" s="6">
        <v>29.84</v>
      </c>
      <c r="J593" s="6">
        <v>2301401</v>
      </c>
      <c r="K593" s="6">
        <v>53615</v>
      </c>
      <c r="L593" s="6">
        <v>35000</v>
      </c>
      <c r="M593" s="6">
        <v>0</v>
      </c>
      <c r="N593" s="6">
        <v>4584</v>
      </c>
      <c r="O593" s="6">
        <v>2324600</v>
      </c>
      <c r="P593" s="2" t="s">
        <v>40</v>
      </c>
      <c r="Q593" s="2" t="s">
        <v>32</v>
      </c>
      <c r="R593" s="2" t="s">
        <v>50</v>
      </c>
      <c r="S593" s="5">
        <v>1</v>
      </c>
      <c r="T593" s="1">
        <v>0</v>
      </c>
      <c r="U593" s="2">
        <f t="shared" si="123"/>
        <v>1</v>
      </c>
      <c r="V593" s="1">
        <v>0</v>
      </c>
      <c r="W593" s="2">
        <f t="shared" si="120"/>
        <v>1</v>
      </c>
      <c r="X593" s="8">
        <f t="shared" si="121"/>
        <v>100</v>
      </c>
    </row>
    <row r="594" spans="1:24" ht="15" customHeight="1">
      <c r="A594" s="9">
        <v>46054</v>
      </c>
      <c r="B594" s="2" t="s">
        <v>45</v>
      </c>
      <c r="C594" s="2" t="s">
        <v>1262</v>
      </c>
      <c r="D594" s="2" t="s">
        <v>1263</v>
      </c>
      <c r="E594" s="2" t="s">
        <v>1264</v>
      </c>
      <c r="F594" s="2" t="s">
        <v>1265</v>
      </c>
      <c r="G594" s="2" t="s">
        <v>1259</v>
      </c>
      <c r="H594" s="2" t="s">
        <v>24</v>
      </c>
      <c r="I594" s="6">
        <v>29.84</v>
      </c>
      <c r="J594" s="6">
        <v>392768</v>
      </c>
      <c r="K594" s="6">
        <v>1180</v>
      </c>
      <c r="L594" s="6">
        <v>0</v>
      </c>
      <c r="M594" s="6">
        <v>0</v>
      </c>
      <c r="N594" s="6">
        <v>150</v>
      </c>
      <c r="O594" s="6">
        <v>394098</v>
      </c>
      <c r="P594" s="2" t="s">
        <v>40</v>
      </c>
      <c r="Q594" s="2" t="s">
        <v>32</v>
      </c>
      <c r="R594" s="2" t="s">
        <v>50</v>
      </c>
      <c r="S594" s="5">
        <v>1</v>
      </c>
      <c r="T594" s="1">
        <v>0</v>
      </c>
      <c r="U594" s="2">
        <f t="shared" si="123"/>
        <v>1</v>
      </c>
      <c r="V594" s="1">
        <v>0</v>
      </c>
      <c r="W594" s="2">
        <f t="shared" si="120"/>
        <v>1</v>
      </c>
      <c r="X594" s="8">
        <f t="shared" si="121"/>
        <v>100</v>
      </c>
    </row>
    <row r="595" spans="1:24" ht="15" customHeight="1">
      <c r="A595" s="9">
        <v>46054</v>
      </c>
      <c r="B595" s="2" t="s">
        <v>18</v>
      </c>
      <c r="C595" s="2" t="s">
        <v>1266</v>
      </c>
      <c r="D595" s="2" t="s">
        <v>1267</v>
      </c>
      <c r="E595" s="2" t="s">
        <v>1268</v>
      </c>
      <c r="F595" s="2" t="s">
        <v>1269</v>
      </c>
      <c r="G595" s="2" t="s">
        <v>1270</v>
      </c>
      <c r="H595" s="2" t="s">
        <v>24</v>
      </c>
      <c r="I595" s="6">
        <v>18</v>
      </c>
      <c r="J595" s="6">
        <v>14122850</v>
      </c>
      <c r="K595" s="6">
        <v>11241</v>
      </c>
      <c r="L595" s="6">
        <v>0</v>
      </c>
      <c r="M595" s="6">
        <v>0</v>
      </c>
      <c r="N595" s="6">
        <v>16716</v>
      </c>
      <c r="O595" s="6">
        <v>14150807</v>
      </c>
      <c r="P595" s="2" t="s">
        <v>1246</v>
      </c>
      <c r="Q595" s="2" t="s">
        <v>32</v>
      </c>
      <c r="R595" s="2" t="s">
        <v>1271</v>
      </c>
      <c r="S595" s="5">
        <v>0</v>
      </c>
      <c r="T595" s="1">
        <v>1</v>
      </c>
      <c r="U595" s="2">
        <f t="shared" si="122"/>
        <v>1</v>
      </c>
      <c r="V595" s="1">
        <v>0</v>
      </c>
      <c r="W595" s="2">
        <f t="shared" si="120"/>
        <v>1</v>
      </c>
      <c r="X595" s="8">
        <f t="shared" si="121"/>
        <v>0</v>
      </c>
    </row>
    <row r="596" spans="1:24" ht="15" customHeight="1">
      <c r="A596" s="9">
        <v>46054</v>
      </c>
      <c r="B596" s="2" t="s">
        <v>18</v>
      </c>
      <c r="C596" s="2" t="s">
        <v>1266</v>
      </c>
      <c r="D596" s="2" t="s">
        <v>1272</v>
      </c>
      <c r="E596" s="2" t="s">
        <v>558</v>
      </c>
      <c r="F596" s="2" t="s">
        <v>1273</v>
      </c>
      <c r="G596" s="2" t="s">
        <v>1270</v>
      </c>
      <c r="H596" s="2" t="s">
        <v>24</v>
      </c>
      <c r="I596" s="6">
        <v>13</v>
      </c>
      <c r="J596" s="6">
        <v>3072486</v>
      </c>
      <c r="K596" s="6">
        <v>38263</v>
      </c>
      <c r="L596" s="6">
        <v>0</v>
      </c>
      <c r="M596" s="6">
        <v>0</v>
      </c>
      <c r="N596" s="6">
        <v>2706</v>
      </c>
      <c r="O596" s="6">
        <v>3113455</v>
      </c>
      <c r="P596" s="2" t="s">
        <v>40</v>
      </c>
      <c r="Q596" s="2" t="s">
        <v>32</v>
      </c>
      <c r="R596" s="2" t="s">
        <v>33</v>
      </c>
      <c r="S596" s="5">
        <v>0</v>
      </c>
      <c r="T596" s="1">
        <v>1</v>
      </c>
      <c r="U596" s="2">
        <f>T596+S596</f>
        <v>1</v>
      </c>
      <c r="V596" s="1">
        <v>0</v>
      </c>
      <c r="W596" s="2">
        <f t="shared" si="120"/>
        <v>1</v>
      </c>
      <c r="X596" s="8">
        <f t="shared" si="121"/>
        <v>0</v>
      </c>
    </row>
    <row r="597" spans="1:24" ht="15" customHeight="1">
      <c r="A597" s="9">
        <v>46054</v>
      </c>
      <c r="B597" s="2" t="s">
        <v>45</v>
      </c>
      <c r="C597" s="2" t="s">
        <v>1266</v>
      </c>
      <c r="D597" s="2" t="s">
        <v>1274</v>
      </c>
      <c r="E597" s="2" t="s">
        <v>1275</v>
      </c>
      <c r="F597" s="2" t="s">
        <v>1276</v>
      </c>
      <c r="G597" s="2" t="s">
        <v>1270</v>
      </c>
      <c r="H597" s="2" t="s">
        <v>24</v>
      </c>
      <c r="I597" s="6">
        <v>48.33</v>
      </c>
      <c r="J597" s="6">
        <v>0</v>
      </c>
      <c r="K597" s="6">
        <v>86528</v>
      </c>
      <c r="L597" s="6">
        <v>86529</v>
      </c>
      <c r="M597" s="6">
        <v>0</v>
      </c>
      <c r="N597" s="6">
        <v>0</v>
      </c>
      <c r="O597" s="6">
        <v>-1</v>
      </c>
      <c r="P597" s="2" t="s">
        <v>1246</v>
      </c>
      <c r="Q597" s="2" t="s">
        <v>32</v>
      </c>
      <c r="R597" s="2" t="s">
        <v>1277</v>
      </c>
      <c r="S597" s="5">
        <v>1</v>
      </c>
      <c r="T597" s="1">
        <v>0</v>
      </c>
      <c r="U597" s="2">
        <f t="shared" si="122"/>
        <v>1</v>
      </c>
      <c r="V597" s="1">
        <v>0</v>
      </c>
      <c r="W597" s="2">
        <f t="shared" si="120"/>
        <v>1</v>
      </c>
      <c r="X597" s="8">
        <f t="shared" si="121"/>
        <v>100</v>
      </c>
    </row>
    <row r="598" spans="1:24" ht="15" customHeight="1">
      <c r="A598" s="9">
        <v>46054</v>
      </c>
      <c r="B598" s="2" t="s">
        <v>45</v>
      </c>
      <c r="C598" s="2" t="s">
        <v>1266</v>
      </c>
      <c r="D598" s="2" t="s">
        <v>1278</v>
      </c>
      <c r="E598" s="2" t="s">
        <v>1279</v>
      </c>
      <c r="F598" s="2" t="s">
        <v>1270</v>
      </c>
      <c r="G598" s="2" t="s">
        <v>1270</v>
      </c>
      <c r="H598" s="2" t="s">
        <v>24</v>
      </c>
      <c r="I598" s="6">
        <v>100</v>
      </c>
      <c r="J598" s="6">
        <v>127635</v>
      </c>
      <c r="K598" s="6">
        <v>1180</v>
      </c>
      <c r="L598" s="6">
        <v>0</v>
      </c>
      <c r="M598" s="6">
        <v>0</v>
      </c>
      <c r="N598" s="6">
        <v>100</v>
      </c>
      <c r="O598" s="6">
        <v>128915</v>
      </c>
      <c r="P598" s="2" t="s">
        <v>1246</v>
      </c>
      <c r="Q598" s="2" t="s">
        <v>32</v>
      </c>
      <c r="R598" s="2" t="s">
        <v>1277</v>
      </c>
      <c r="S598" s="5">
        <v>0</v>
      </c>
      <c r="T598" s="1">
        <v>1</v>
      </c>
      <c r="U598" s="2">
        <f t="shared" ref="U598:U600" si="124">T598+S598</f>
        <v>1</v>
      </c>
      <c r="V598" s="1">
        <v>0</v>
      </c>
      <c r="W598" s="2">
        <f t="shared" ref="W598:W601" si="125">V598+U598</f>
        <v>1</v>
      </c>
      <c r="X598" s="8">
        <f t="shared" ref="X598:X601" si="126">100/U598*S598</f>
        <v>0</v>
      </c>
    </row>
    <row r="599" spans="1:24" ht="15" customHeight="1">
      <c r="A599" s="9">
        <v>46054</v>
      </c>
      <c r="B599" s="2" t="s">
        <v>18</v>
      </c>
      <c r="C599" s="2" t="s">
        <v>1280</v>
      </c>
      <c r="D599" s="2" t="s">
        <v>1281</v>
      </c>
      <c r="E599" s="2" t="s">
        <v>1282</v>
      </c>
      <c r="F599" s="2" t="s">
        <v>1283</v>
      </c>
      <c r="G599" s="2" t="s">
        <v>1284</v>
      </c>
      <c r="H599" s="2" t="s">
        <v>24</v>
      </c>
      <c r="I599" s="6">
        <v>1</v>
      </c>
      <c r="J599" s="6">
        <v>9991.34</v>
      </c>
      <c r="K599" s="6">
        <v>5472</v>
      </c>
      <c r="L599" s="6">
        <v>0</v>
      </c>
      <c r="M599" s="6">
        <v>0</v>
      </c>
      <c r="N599" s="6">
        <v>652</v>
      </c>
      <c r="O599" s="6">
        <v>16115.34</v>
      </c>
      <c r="P599" s="2" t="s">
        <v>1246</v>
      </c>
      <c r="Q599" s="2" t="s">
        <v>32</v>
      </c>
      <c r="R599" s="2" t="s">
        <v>1277</v>
      </c>
      <c r="S599" s="5">
        <v>0</v>
      </c>
      <c r="T599" s="1">
        <v>1</v>
      </c>
      <c r="U599" s="2">
        <f>T599+S599</f>
        <v>1</v>
      </c>
      <c r="V599" s="1">
        <v>0</v>
      </c>
      <c r="W599" s="2">
        <f t="shared" si="125"/>
        <v>1</v>
      </c>
      <c r="X599" s="8">
        <f t="shared" si="126"/>
        <v>0</v>
      </c>
    </row>
    <row r="600" spans="1:24" ht="15" customHeight="1">
      <c r="A600" s="9">
        <v>46054</v>
      </c>
      <c r="B600" s="2" t="s">
        <v>18</v>
      </c>
      <c r="C600" s="2" t="s">
        <v>1280</v>
      </c>
      <c r="D600" s="2" t="s">
        <v>1285</v>
      </c>
      <c r="E600" s="2" t="s">
        <v>1268</v>
      </c>
      <c r="F600" s="2" t="s">
        <v>1286</v>
      </c>
      <c r="G600" s="2" t="s">
        <v>1284</v>
      </c>
      <c r="H600" s="2" t="s">
        <v>24</v>
      </c>
      <c r="I600" s="6">
        <v>15</v>
      </c>
      <c r="J600" s="6">
        <v>9434</v>
      </c>
      <c r="K600" s="6">
        <v>1343</v>
      </c>
      <c r="L600" s="6">
        <v>0</v>
      </c>
      <c r="M600" s="6">
        <v>0</v>
      </c>
      <c r="N600" s="6">
        <v>322</v>
      </c>
      <c r="O600" s="6">
        <v>11099</v>
      </c>
      <c r="P600" s="2" t="s">
        <v>1246</v>
      </c>
      <c r="Q600" s="2" t="s">
        <v>32</v>
      </c>
      <c r="R600" s="2" t="s">
        <v>1277</v>
      </c>
      <c r="S600" s="5">
        <v>0</v>
      </c>
      <c r="T600" s="1">
        <v>1</v>
      </c>
      <c r="U600" s="2">
        <f t="shared" si="124"/>
        <v>1</v>
      </c>
      <c r="V600" s="1">
        <v>0</v>
      </c>
      <c r="W600" s="2">
        <f t="shared" si="125"/>
        <v>1</v>
      </c>
      <c r="X600" s="8">
        <f t="shared" si="126"/>
        <v>0</v>
      </c>
    </row>
    <row r="601" spans="1:24" ht="15" customHeight="1">
      <c r="A601" s="9">
        <v>46054</v>
      </c>
      <c r="B601" s="2" t="s">
        <v>18</v>
      </c>
      <c r="C601" s="2" t="s">
        <v>1280</v>
      </c>
      <c r="D601" s="2" t="s">
        <v>1287</v>
      </c>
      <c r="E601" s="2" t="s">
        <v>1288</v>
      </c>
      <c r="F601" s="2" t="s">
        <v>1289</v>
      </c>
      <c r="G601" s="2" t="s">
        <v>1290</v>
      </c>
      <c r="H601" s="2" t="s">
        <v>24</v>
      </c>
      <c r="I601" s="6">
        <v>1</v>
      </c>
      <c r="J601" s="6">
        <v>3472</v>
      </c>
      <c r="K601" s="6">
        <v>1669</v>
      </c>
      <c r="L601" s="6">
        <v>0</v>
      </c>
      <c r="M601" s="6">
        <v>0</v>
      </c>
      <c r="N601" s="6">
        <v>100</v>
      </c>
      <c r="O601" s="6">
        <v>5241</v>
      </c>
      <c r="P601" s="2" t="s">
        <v>1246</v>
      </c>
      <c r="Q601" s="2" t="s">
        <v>32</v>
      </c>
      <c r="R601" s="2" t="s">
        <v>1247</v>
      </c>
      <c r="S601" s="5">
        <v>0</v>
      </c>
      <c r="T601" s="1">
        <v>1</v>
      </c>
      <c r="U601" s="2">
        <f>T601+S601</f>
        <v>1</v>
      </c>
      <c r="V601" s="1">
        <v>0</v>
      </c>
      <c r="W601" s="2">
        <f t="shared" si="125"/>
        <v>1</v>
      </c>
      <c r="X601" s="8">
        <f t="shared" si="126"/>
        <v>0</v>
      </c>
    </row>
    <row r="602" spans="1:24" ht="15" customHeight="1">
      <c r="A602" s="9">
        <v>46054</v>
      </c>
      <c r="B602" s="2" t="s">
        <v>18</v>
      </c>
      <c r="C602" s="2" t="s">
        <v>1291</v>
      </c>
      <c r="D602" s="2" t="s">
        <v>1292</v>
      </c>
      <c r="E602" s="2" t="s">
        <v>1293</v>
      </c>
      <c r="F602" s="2" t="s">
        <v>1294</v>
      </c>
      <c r="G602" s="2" t="s">
        <v>1295</v>
      </c>
      <c r="H602" s="2" t="s">
        <v>24</v>
      </c>
      <c r="I602" s="6">
        <v>15</v>
      </c>
      <c r="J602" s="6">
        <v>18185930</v>
      </c>
      <c r="K602" s="6">
        <v>0</v>
      </c>
      <c r="L602" s="6">
        <v>0</v>
      </c>
      <c r="M602" s="6">
        <v>0</v>
      </c>
      <c r="N602" s="6">
        <v>0</v>
      </c>
      <c r="O602" s="6">
        <v>18185930</v>
      </c>
      <c r="P602" s="2" t="s">
        <v>1296</v>
      </c>
      <c r="Q602" s="2" t="s">
        <v>26</v>
      </c>
      <c r="R602" s="2" t="s">
        <v>1277</v>
      </c>
      <c r="S602" s="5">
        <v>0</v>
      </c>
      <c r="T602" s="1">
        <v>0</v>
      </c>
      <c r="U602" s="2">
        <f t="shared" ref="U602:U603" si="127">T602+S602</f>
        <v>0</v>
      </c>
      <c r="V602" s="1">
        <v>1</v>
      </c>
      <c r="W602" s="2">
        <f t="shared" ref="W602" si="128">V602+U602</f>
        <v>1</v>
      </c>
      <c r="X602" s="8" t="e">
        <f t="shared" ref="X602" si="129">100/U602*S602</f>
        <v>#DIV/0!</v>
      </c>
    </row>
    <row r="603" spans="1:24" ht="15" customHeight="1">
      <c r="A603" s="9">
        <v>46054</v>
      </c>
      <c r="B603" s="2" t="s">
        <v>45</v>
      </c>
      <c r="C603" s="2" t="s">
        <v>1291</v>
      </c>
      <c r="D603" s="2" t="s">
        <v>1297</v>
      </c>
      <c r="E603" s="2" t="s">
        <v>1298</v>
      </c>
      <c r="F603" s="2" t="s">
        <v>1295</v>
      </c>
      <c r="G603" s="2" t="s">
        <v>1295</v>
      </c>
      <c r="H603" s="2" t="s">
        <v>24</v>
      </c>
      <c r="I603" s="6">
        <v>160</v>
      </c>
      <c r="J603" s="6">
        <v>446462</v>
      </c>
      <c r="K603" s="6">
        <v>0</v>
      </c>
      <c r="L603" s="6">
        <v>0</v>
      </c>
      <c r="M603" s="6">
        <v>0</v>
      </c>
      <c r="N603" s="6">
        <v>0</v>
      </c>
      <c r="O603" s="6">
        <v>446462</v>
      </c>
      <c r="P603" s="2" t="s">
        <v>1296</v>
      </c>
      <c r="Q603" s="2" t="s">
        <v>26</v>
      </c>
      <c r="R603" s="2" t="s">
        <v>1299</v>
      </c>
      <c r="S603" s="5">
        <v>0</v>
      </c>
      <c r="T603" s="1">
        <v>0</v>
      </c>
      <c r="U603" s="2">
        <f t="shared" si="127"/>
        <v>0</v>
      </c>
      <c r="V603" s="1">
        <v>1</v>
      </c>
      <c r="W603" s="2">
        <f t="shared" ref="W603" si="130">V603+U603</f>
        <v>1</v>
      </c>
      <c r="X603" s="8" t="e">
        <f t="shared" ref="X603" si="131">100/U603*S603</f>
        <v>#DIV/0!</v>
      </c>
    </row>
    <row r="604" spans="1:24" ht="15" customHeight="1">
      <c r="A604" s="9">
        <v>46054</v>
      </c>
      <c r="B604" s="2" t="s">
        <v>45</v>
      </c>
      <c r="C604" s="2" t="s">
        <v>1291</v>
      </c>
      <c r="D604" s="2" t="s">
        <v>1300</v>
      </c>
      <c r="E604" s="2" t="s">
        <v>1301</v>
      </c>
      <c r="F604" s="2" t="s">
        <v>1295</v>
      </c>
      <c r="G604" s="2" t="s">
        <v>1295</v>
      </c>
      <c r="H604" s="2" t="s">
        <v>1344</v>
      </c>
      <c r="I604" s="6">
        <v>181.94</v>
      </c>
      <c r="J604" s="6">
        <v>148545</v>
      </c>
      <c r="K604" s="6">
        <v>1575475</v>
      </c>
      <c r="L604" s="6">
        <v>3102305</v>
      </c>
      <c r="M604" s="6">
        <v>0</v>
      </c>
      <c r="N604" s="6">
        <v>1422</v>
      </c>
      <c r="O604" s="6">
        <v>-1376863</v>
      </c>
      <c r="P604" s="2" t="s">
        <v>1296</v>
      </c>
      <c r="Q604" s="2" t="s">
        <v>32</v>
      </c>
      <c r="R604" s="2" t="s">
        <v>1277</v>
      </c>
      <c r="S604" s="5">
        <v>1</v>
      </c>
      <c r="T604" s="1">
        <v>0</v>
      </c>
      <c r="U604" s="2">
        <f t="shared" ref="U604" si="132">T604+S604</f>
        <v>1</v>
      </c>
      <c r="V604" s="1">
        <v>0</v>
      </c>
      <c r="W604" s="2">
        <f t="shared" ref="W604" si="133">V604+U604</f>
        <v>1</v>
      </c>
      <c r="X604" s="8">
        <f t="shared" ref="X604:X606" si="134">100/U604*S604</f>
        <v>100</v>
      </c>
    </row>
    <row r="605" spans="1:24" ht="15" customHeight="1">
      <c r="A605" s="9">
        <v>46054</v>
      </c>
      <c r="B605" s="2" t="s">
        <v>45</v>
      </c>
      <c r="C605" s="2" t="s">
        <v>1291</v>
      </c>
      <c r="D605" s="2" t="s">
        <v>1303</v>
      </c>
      <c r="E605" s="2" t="s">
        <v>1304</v>
      </c>
      <c r="F605" s="2" t="s">
        <v>1305</v>
      </c>
      <c r="G605" s="2" t="s">
        <v>1306</v>
      </c>
      <c r="H605" s="2" t="s">
        <v>1302</v>
      </c>
      <c r="I605" s="6">
        <v>120</v>
      </c>
      <c r="J605" s="6">
        <v>0</v>
      </c>
      <c r="K605" s="6">
        <v>40122</v>
      </c>
      <c r="L605" s="6">
        <v>40122</v>
      </c>
      <c r="M605" s="6">
        <v>0</v>
      </c>
      <c r="N605" s="6">
        <v>0</v>
      </c>
      <c r="O605" s="6">
        <v>0</v>
      </c>
      <c r="P605" s="2" t="s">
        <v>40</v>
      </c>
      <c r="Q605" s="2" t="s">
        <v>32</v>
      </c>
      <c r="R605" s="2" t="s">
        <v>298</v>
      </c>
      <c r="S605" s="5">
        <v>1</v>
      </c>
      <c r="T605" s="1">
        <v>0</v>
      </c>
      <c r="U605" s="2">
        <f t="shared" ref="U605:U610" si="135">T605+S605</f>
        <v>1</v>
      </c>
      <c r="V605" s="1">
        <v>0</v>
      </c>
      <c r="W605" s="2">
        <f t="shared" ref="W605:W610" si="136">V605+U605</f>
        <v>1</v>
      </c>
      <c r="X605" s="8">
        <f t="shared" si="134"/>
        <v>100</v>
      </c>
    </row>
    <row r="606" spans="1:24" ht="15" customHeight="1">
      <c r="A606" s="9">
        <v>46054</v>
      </c>
      <c r="B606" s="2" t="s">
        <v>45</v>
      </c>
      <c r="C606" s="2" t="s">
        <v>1291</v>
      </c>
      <c r="D606" s="2" t="s">
        <v>1311</v>
      </c>
      <c r="E606" s="2" t="s">
        <v>1312</v>
      </c>
      <c r="F606" s="2" t="s">
        <v>1313</v>
      </c>
      <c r="G606" s="2" t="s">
        <v>1295</v>
      </c>
      <c r="H606" s="2" t="s">
        <v>531</v>
      </c>
      <c r="I606" s="6">
        <v>30</v>
      </c>
      <c r="J606" s="6">
        <v>167750</v>
      </c>
      <c r="K606" s="6">
        <v>93751</v>
      </c>
      <c r="L606" s="6">
        <v>268183</v>
      </c>
      <c r="M606" s="6">
        <v>0</v>
      </c>
      <c r="N606" s="6">
        <v>6928</v>
      </c>
      <c r="O606" s="6">
        <v>246</v>
      </c>
      <c r="P606" s="2" t="s">
        <v>1296</v>
      </c>
      <c r="Q606" s="2" t="s">
        <v>32</v>
      </c>
      <c r="R606" s="2" t="s">
        <v>532</v>
      </c>
      <c r="S606" s="5">
        <v>1</v>
      </c>
      <c r="T606" s="1">
        <v>0</v>
      </c>
      <c r="U606" s="2">
        <f t="shared" si="135"/>
        <v>1</v>
      </c>
      <c r="V606" s="1">
        <v>0</v>
      </c>
      <c r="W606" s="2">
        <f t="shared" si="136"/>
        <v>1</v>
      </c>
      <c r="X606" s="8">
        <f t="shared" si="134"/>
        <v>100</v>
      </c>
    </row>
    <row r="607" spans="1:24" ht="15" customHeight="1">
      <c r="A607" s="9">
        <v>46054</v>
      </c>
      <c r="B607" s="2" t="s">
        <v>45</v>
      </c>
      <c r="C607" s="2" t="s">
        <v>1291</v>
      </c>
      <c r="D607" s="2" t="s">
        <v>1314</v>
      </c>
      <c r="E607" s="2" t="s">
        <v>1312</v>
      </c>
      <c r="F607" s="2" t="s">
        <v>1315</v>
      </c>
      <c r="G607" s="2" t="s">
        <v>1295</v>
      </c>
      <c r="H607" s="2" t="s">
        <v>531</v>
      </c>
      <c r="I607" s="6">
        <v>30</v>
      </c>
      <c r="J607" s="6">
        <v>312</v>
      </c>
      <c r="K607" s="6">
        <v>2360</v>
      </c>
      <c r="L607" s="6">
        <v>2684</v>
      </c>
      <c r="M607" s="6">
        <v>0</v>
      </c>
      <c r="N607" s="6">
        <v>13</v>
      </c>
      <c r="O607" s="6">
        <v>1</v>
      </c>
      <c r="P607" s="2" t="s">
        <v>1296</v>
      </c>
      <c r="Q607" s="2" t="s">
        <v>26</v>
      </c>
      <c r="R607" s="2" t="s">
        <v>532</v>
      </c>
      <c r="S607" s="5">
        <v>0</v>
      </c>
      <c r="T607" s="1">
        <v>0</v>
      </c>
      <c r="U607" s="2">
        <f>T607+S607</f>
        <v>0</v>
      </c>
      <c r="V607" s="1">
        <v>1</v>
      </c>
      <c r="W607" s="2">
        <f t="shared" si="136"/>
        <v>1</v>
      </c>
      <c r="X607" s="8" t="e">
        <f t="shared" ref="X607:X614" si="137">100/U607*S607</f>
        <v>#DIV/0!</v>
      </c>
    </row>
    <row r="608" spans="1:24" ht="15" customHeight="1">
      <c r="A608" s="9">
        <v>46054</v>
      </c>
      <c r="B608" s="2" t="s">
        <v>45</v>
      </c>
      <c r="C608" s="2" t="s">
        <v>1291</v>
      </c>
      <c r="D608" s="2" t="s">
        <v>1316</v>
      </c>
      <c r="E608" s="2" t="s">
        <v>1317</v>
      </c>
      <c r="F608" s="2" t="s">
        <v>1318</v>
      </c>
      <c r="G608" s="2" t="s">
        <v>1318</v>
      </c>
      <c r="H608" s="2" t="s">
        <v>24</v>
      </c>
      <c r="I608" s="6">
        <v>175</v>
      </c>
      <c r="J608" s="6">
        <v>-271879</v>
      </c>
      <c r="K608" s="6">
        <v>196056</v>
      </c>
      <c r="L608" s="6">
        <v>0</v>
      </c>
      <c r="M608" s="6">
        <v>0</v>
      </c>
      <c r="N608" s="6">
        <v>0</v>
      </c>
      <c r="O608" s="6">
        <v>-75823</v>
      </c>
      <c r="P608" s="2" t="s">
        <v>1296</v>
      </c>
      <c r="Q608" s="2" t="s">
        <v>32</v>
      </c>
      <c r="R608" s="2" t="s">
        <v>1319</v>
      </c>
      <c r="S608" s="5">
        <v>1</v>
      </c>
      <c r="T608" s="1">
        <v>0</v>
      </c>
      <c r="U608" s="2">
        <f t="shared" si="135"/>
        <v>1</v>
      </c>
      <c r="V608" s="1">
        <v>0</v>
      </c>
      <c r="W608" s="2">
        <f t="shared" si="136"/>
        <v>1</v>
      </c>
      <c r="X608" s="8">
        <f t="shared" si="137"/>
        <v>100</v>
      </c>
    </row>
    <row r="609" spans="1:24" ht="15" customHeight="1">
      <c r="A609" s="9">
        <v>46054</v>
      </c>
      <c r="B609" s="2" t="s">
        <v>45</v>
      </c>
      <c r="C609" s="2" t="s">
        <v>1291</v>
      </c>
      <c r="D609" s="2" t="s">
        <v>1699</v>
      </c>
      <c r="E609" s="2" t="s">
        <v>1700</v>
      </c>
      <c r="F609" s="2" t="s">
        <v>1701</v>
      </c>
      <c r="G609" s="2" t="s">
        <v>1306</v>
      </c>
      <c r="H609" s="2" t="s">
        <v>24</v>
      </c>
      <c r="I609" s="6">
        <v>149.19999999999999</v>
      </c>
      <c r="J609" s="6">
        <v>690926</v>
      </c>
      <c r="K609" s="6">
        <v>267913</v>
      </c>
      <c r="L609" s="6">
        <v>0</v>
      </c>
      <c r="M609" s="6">
        <v>0</v>
      </c>
      <c r="N609" s="6">
        <v>23068</v>
      </c>
      <c r="O609" s="6">
        <v>981907</v>
      </c>
      <c r="P609" s="2" t="s">
        <v>1296</v>
      </c>
      <c r="Q609" s="2" t="s">
        <v>32</v>
      </c>
      <c r="R609" s="2" t="s">
        <v>1702</v>
      </c>
      <c r="S609" s="5">
        <v>1</v>
      </c>
      <c r="T609" s="1">
        <v>0</v>
      </c>
      <c r="U609" s="2">
        <f>T609+S609</f>
        <v>1</v>
      </c>
      <c r="V609" s="1">
        <v>0</v>
      </c>
      <c r="W609" s="2">
        <f t="shared" si="136"/>
        <v>1</v>
      </c>
      <c r="X609" s="8">
        <f t="shared" si="137"/>
        <v>100</v>
      </c>
    </row>
    <row r="610" spans="1:24" ht="15" customHeight="1">
      <c r="A610" s="9">
        <v>46054</v>
      </c>
      <c r="B610" s="2" t="s">
        <v>45</v>
      </c>
      <c r="C610" s="2" t="s">
        <v>1291</v>
      </c>
      <c r="D610" s="2" t="s">
        <v>1703</v>
      </c>
      <c r="E610" s="2" t="s">
        <v>1704</v>
      </c>
      <c r="F610" s="2" t="s">
        <v>1705</v>
      </c>
      <c r="G610" s="2" t="s">
        <v>1306</v>
      </c>
      <c r="H610" s="2" t="s">
        <v>24</v>
      </c>
      <c r="I610" s="6">
        <v>165.61</v>
      </c>
      <c r="J610" s="6">
        <v>31403</v>
      </c>
      <c r="K610" s="6">
        <v>37536</v>
      </c>
      <c r="L610" s="6">
        <v>0</v>
      </c>
      <c r="M610" s="6">
        <v>0</v>
      </c>
      <c r="N610" s="6">
        <v>1929</v>
      </c>
      <c r="O610" s="6">
        <v>70868</v>
      </c>
      <c r="P610" s="2" t="s">
        <v>1296</v>
      </c>
      <c r="Q610" s="2" t="s">
        <v>32</v>
      </c>
      <c r="R610" s="2" t="s">
        <v>1702</v>
      </c>
      <c r="S610" s="5">
        <v>1</v>
      </c>
      <c r="T610" s="1">
        <v>0</v>
      </c>
      <c r="U610" s="2">
        <f t="shared" si="135"/>
        <v>1</v>
      </c>
      <c r="V610" s="1">
        <v>0</v>
      </c>
      <c r="W610" s="2">
        <f t="shared" si="136"/>
        <v>1</v>
      </c>
      <c r="X610" s="8">
        <f t="shared" si="137"/>
        <v>100</v>
      </c>
    </row>
    <row r="611" spans="1:24" ht="15" customHeight="1">
      <c r="A611" s="9">
        <v>46054</v>
      </c>
      <c r="B611" s="2" t="s">
        <v>45</v>
      </c>
      <c r="C611" s="2" t="s">
        <v>1291</v>
      </c>
      <c r="D611" s="2" t="s">
        <v>1706</v>
      </c>
      <c r="E611" s="2" t="s">
        <v>1707</v>
      </c>
      <c r="F611" s="2" t="s">
        <v>1708</v>
      </c>
      <c r="G611" s="2" t="s">
        <v>1709</v>
      </c>
      <c r="H611" s="2" t="s">
        <v>24</v>
      </c>
      <c r="I611" s="6">
        <v>110.4</v>
      </c>
      <c r="J611" s="6">
        <v>15268</v>
      </c>
      <c r="K611" s="6">
        <v>1180</v>
      </c>
      <c r="L611" s="6">
        <v>0</v>
      </c>
      <c r="M611" s="6">
        <v>0</v>
      </c>
      <c r="N611" s="6">
        <v>100</v>
      </c>
      <c r="O611" s="6">
        <v>16548</v>
      </c>
      <c r="P611" s="2" t="s">
        <v>1296</v>
      </c>
      <c r="Q611" s="2" t="s">
        <v>32</v>
      </c>
      <c r="R611" s="2" t="s">
        <v>1702</v>
      </c>
      <c r="S611" s="5">
        <v>1</v>
      </c>
      <c r="T611" s="1">
        <v>0</v>
      </c>
      <c r="U611" s="2">
        <f t="shared" ref="U611" si="138">T611+S611</f>
        <v>1</v>
      </c>
      <c r="V611" s="1">
        <v>0</v>
      </c>
      <c r="W611" s="2">
        <f t="shared" ref="W611" si="139">V611+U611</f>
        <v>1</v>
      </c>
      <c r="X611" s="8">
        <f t="shared" si="137"/>
        <v>100</v>
      </c>
    </row>
    <row r="612" spans="1:24" ht="15" customHeight="1">
      <c r="A612" s="9">
        <v>46054</v>
      </c>
      <c r="B612" s="2" t="s">
        <v>45</v>
      </c>
      <c r="C612" s="2" t="s">
        <v>1291</v>
      </c>
      <c r="D612" s="2" t="s">
        <v>1710</v>
      </c>
      <c r="E612" s="2" t="s">
        <v>1707</v>
      </c>
      <c r="F612" s="2" t="s">
        <v>1708</v>
      </c>
      <c r="G612" s="2" t="s">
        <v>1305</v>
      </c>
      <c r="H612" s="2" t="s">
        <v>24</v>
      </c>
      <c r="I612" s="6">
        <v>110.4</v>
      </c>
      <c r="J612" s="6">
        <v>11588</v>
      </c>
      <c r="K612" s="6">
        <v>5146</v>
      </c>
      <c r="L612" s="6">
        <v>0</v>
      </c>
      <c r="M612" s="6">
        <v>0</v>
      </c>
      <c r="N612" s="6">
        <v>423</v>
      </c>
      <c r="O612" s="6">
        <v>17157</v>
      </c>
      <c r="P612" s="2" t="s">
        <v>1296</v>
      </c>
      <c r="Q612" s="2" t="s">
        <v>32</v>
      </c>
      <c r="R612" s="2" t="s">
        <v>1702</v>
      </c>
      <c r="S612" s="5">
        <v>1</v>
      </c>
      <c r="T612" s="1">
        <v>0</v>
      </c>
      <c r="U612" s="2">
        <f t="shared" ref="U612" si="140">T612+S612</f>
        <v>1</v>
      </c>
      <c r="V612" s="1">
        <v>0</v>
      </c>
      <c r="W612" s="2">
        <f t="shared" ref="W612" si="141">V612+U612</f>
        <v>1</v>
      </c>
      <c r="X612" s="8">
        <f t="shared" si="137"/>
        <v>100</v>
      </c>
    </row>
    <row r="613" spans="1:24" ht="15" customHeight="1">
      <c r="A613" s="9">
        <v>46054</v>
      </c>
      <c r="B613" s="2" t="s">
        <v>45</v>
      </c>
      <c r="C613" s="2" t="s">
        <v>1291</v>
      </c>
      <c r="D613" s="2" t="s">
        <v>1711</v>
      </c>
      <c r="E613" s="2" t="s">
        <v>1700</v>
      </c>
      <c r="F613" s="2" t="s">
        <v>1705</v>
      </c>
      <c r="G613" s="2" t="s">
        <v>1306</v>
      </c>
      <c r="H613" s="2" t="s">
        <v>24</v>
      </c>
      <c r="I613" s="6">
        <v>110.4</v>
      </c>
      <c r="J613" s="6">
        <v>14547</v>
      </c>
      <c r="K613" s="6">
        <v>1180</v>
      </c>
      <c r="L613" s="6">
        <v>0</v>
      </c>
      <c r="M613" s="6">
        <v>0</v>
      </c>
      <c r="N613" s="6">
        <v>100</v>
      </c>
      <c r="O613" s="6">
        <v>15827</v>
      </c>
      <c r="P613" s="2" t="s">
        <v>1296</v>
      </c>
      <c r="Q613" s="2" t="s">
        <v>32</v>
      </c>
      <c r="R613" s="2" t="s">
        <v>1702</v>
      </c>
      <c r="S613" s="5">
        <v>0</v>
      </c>
      <c r="T613" s="1">
        <v>1</v>
      </c>
      <c r="U613" s="2">
        <f t="shared" ref="U613" si="142">T613+S613</f>
        <v>1</v>
      </c>
      <c r="V613" s="1">
        <v>0</v>
      </c>
      <c r="W613" s="2">
        <f t="shared" ref="W613" si="143">V613+U613</f>
        <v>1</v>
      </c>
      <c r="X613" s="8">
        <f t="shared" si="137"/>
        <v>0</v>
      </c>
    </row>
    <row r="614" spans="1:24" ht="15" customHeight="1">
      <c r="A614" s="9">
        <v>46054</v>
      </c>
      <c r="B614" s="2" t="s">
        <v>45</v>
      </c>
      <c r="C614" s="2" t="s">
        <v>1291</v>
      </c>
      <c r="D614" s="2" t="s">
        <v>1712</v>
      </c>
      <c r="E614" s="2" t="s">
        <v>1700</v>
      </c>
      <c r="F614" s="2" t="s">
        <v>1713</v>
      </c>
      <c r="G614" s="2" t="s">
        <v>1306</v>
      </c>
      <c r="H614" s="2" t="s">
        <v>24</v>
      </c>
      <c r="I614" s="6">
        <v>44.76</v>
      </c>
      <c r="J614" s="6">
        <v>16457</v>
      </c>
      <c r="K614" s="6">
        <v>1180</v>
      </c>
      <c r="L614" s="6">
        <v>0</v>
      </c>
      <c r="M614" s="6">
        <v>0</v>
      </c>
      <c r="N614" s="6">
        <v>100</v>
      </c>
      <c r="O614" s="6">
        <v>17737</v>
      </c>
      <c r="P614" s="2" t="s">
        <v>1296</v>
      </c>
      <c r="Q614" s="2" t="s">
        <v>32</v>
      </c>
      <c r="R614" s="2" t="s">
        <v>1702</v>
      </c>
      <c r="S614" s="5">
        <v>1</v>
      </c>
      <c r="T614" s="1">
        <v>0</v>
      </c>
      <c r="U614" s="2">
        <f t="shared" ref="U614" si="144">T614+S614</f>
        <v>1</v>
      </c>
      <c r="V614" s="1">
        <v>0</v>
      </c>
      <c r="W614" s="2">
        <f t="shared" ref="W614:W615" si="145">V614+U614</f>
        <v>1</v>
      </c>
      <c r="X614" s="8">
        <f t="shared" si="137"/>
        <v>100</v>
      </c>
    </row>
    <row r="615" spans="1:24" ht="15" customHeight="1">
      <c r="A615" s="9">
        <v>46054</v>
      </c>
      <c r="B615" s="2" t="s">
        <v>45</v>
      </c>
      <c r="C615" s="2" t="s">
        <v>1291</v>
      </c>
      <c r="D615" s="2" t="s">
        <v>1714</v>
      </c>
      <c r="E615" s="2" t="s">
        <v>1715</v>
      </c>
      <c r="F615" s="2" t="s">
        <v>1306</v>
      </c>
      <c r="G615" s="2" t="s">
        <v>1306</v>
      </c>
      <c r="H615" s="2" t="s">
        <v>24</v>
      </c>
      <c r="I615" s="6">
        <v>149.19999999999999</v>
      </c>
      <c r="J615" s="6">
        <v>723296</v>
      </c>
      <c r="K615" s="6">
        <v>235026</v>
      </c>
      <c r="L615" s="6">
        <v>0</v>
      </c>
      <c r="M615" s="6">
        <v>0</v>
      </c>
      <c r="N615" s="6">
        <v>16111</v>
      </c>
      <c r="O615" s="6">
        <v>974433</v>
      </c>
      <c r="P615" s="2" t="s">
        <v>1296</v>
      </c>
      <c r="Q615" s="2" t="s">
        <v>32</v>
      </c>
      <c r="R615" s="2" t="s">
        <v>1702</v>
      </c>
      <c r="S615" s="5">
        <v>1</v>
      </c>
      <c r="T615" s="1">
        <v>0</v>
      </c>
      <c r="U615" s="2">
        <f>T615+S615</f>
        <v>1</v>
      </c>
      <c r="V615" s="1">
        <v>0</v>
      </c>
      <c r="W615" s="2">
        <f t="shared" si="145"/>
        <v>1</v>
      </c>
      <c r="X615" s="8">
        <f t="shared" ref="X615" si="146">100/U615*S615</f>
        <v>100</v>
      </c>
    </row>
    <row r="616" spans="1:24" ht="15" customHeight="1">
      <c r="A616" s="9">
        <v>46054</v>
      </c>
      <c r="B616" s="2" t="s">
        <v>45</v>
      </c>
      <c r="C616" s="2" t="s">
        <v>1291</v>
      </c>
      <c r="D616" s="2" t="s">
        <v>1320</v>
      </c>
      <c r="E616" s="2" t="s">
        <v>1321</v>
      </c>
      <c r="F616" s="2" t="s">
        <v>1322</v>
      </c>
      <c r="G616" s="2" t="s">
        <v>1310</v>
      </c>
      <c r="H616" s="2" t="s">
        <v>24</v>
      </c>
      <c r="I616" s="6">
        <v>65</v>
      </c>
      <c r="J616" s="6">
        <v>22990</v>
      </c>
      <c r="K616" s="6">
        <v>1180</v>
      </c>
      <c r="L616" s="6">
        <v>0</v>
      </c>
      <c r="M616" s="6">
        <v>0</v>
      </c>
      <c r="N616" s="6">
        <v>100</v>
      </c>
      <c r="O616" s="6">
        <v>24270</v>
      </c>
      <c r="P616" s="2" t="s">
        <v>1296</v>
      </c>
      <c r="Q616" s="2" t="s">
        <v>32</v>
      </c>
      <c r="R616" s="2" t="s">
        <v>1323</v>
      </c>
      <c r="S616" s="5">
        <v>1</v>
      </c>
      <c r="T616" s="1">
        <v>0</v>
      </c>
      <c r="U616" s="2">
        <f t="shared" ref="U616:U620" si="147">T616+S616</f>
        <v>1</v>
      </c>
      <c r="V616" s="1">
        <v>0</v>
      </c>
      <c r="W616" s="2">
        <f t="shared" ref="W616:W620" si="148">V616+U616</f>
        <v>1</v>
      </c>
      <c r="X616" s="8">
        <f t="shared" ref="X616:X620" si="149">100/U616*S616</f>
        <v>100</v>
      </c>
    </row>
    <row r="617" spans="1:24" ht="15" customHeight="1">
      <c r="A617" s="9">
        <v>46054</v>
      </c>
      <c r="B617" s="2" t="s">
        <v>45</v>
      </c>
      <c r="C617" s="2" t="s">
        <v>1291</v>
      </c>
      <c r="D617" s="2" t="s">
        <v>1643</v>
      </c>
      <c r="E617" s="2" t="s">
        <v>1644</v>
      </c>
      <c r="F617" s="2" t="s">
        <v>1306</v>
      </c>
      <c r="G617" s="2" t="s">
        <v>1306</v>
      </c>
      <c r="H617" s="2" t="s">
        <v>24</v>
      </c>
      <c r="I617" s="6">
        <v>460</v>
      </c>
      <c r="J617" s="6">
        <v>-405</v>
      </c>
      <c r="K617" s="6">
        <v>1180</v>
      </c>
      <c r="L617" s="6">
        <v>775</v>
      </c>
      <c r="M617" s="6">
        <v>0</v>
      </c>
      <c r="N617" s="6">
        <v>0</v>
      </c>
      <c r="O617" s="6">
        <v>0</v>
      </c>
      <c r="P617" s="2" t="s">
        <v>1296</v>
      </c>
      <c r="Q617" s="2" t="s">
        <v>32</v>
      </c>
      <c r="R617" s="2" t="s">
        <v>339</v>
      </c>
      <c r="S617" s="5">
        <v>1</v>
      </c>
      <c r="T617" s="1">
        <v>0</v>
      </c>
      <c r="U617" s="2">
        <f t="shared" si="147"/>
        <v>1</v>
      </c>
      <c r="V617" s="1">
        <v>0</v>
      </c>
      <c r="W617" s="2">
        <f t="shared" si="148"/>
        <v>1</v>
      </c>
      <c r="X617" s="8">
        <f t="shared" si="149"/>
        <v>100</v>
      </c>
    </row>
    <row r="618" spans="1:24" ht="15" customHeight="1">
      <c r="A618" s="9">
        <v>46054</v>
      </c>
      <c r="B618" s="2" t="s">
        <v>45</v>
      </c>
      <c r="C618" s="2" t="s">
        <v>1291</v>
      </c>
      <c r="D618" s="2" t="s">
        <v>1540</v>
      </c>
      <c r="E618" s="2" t="s">
        <v>1541</v>
      </c>
      <c r="F618" s="2" t="s">
        <v>1318</v>
      </c>
      <c r="G618" s="2" t="s">
        <v>1318</v>
      </c>
      <c r="H618" s="2" t="s">
        <v>24</v>
      </c>
      <c r="I618" s="6">
        <v>85</v>
      </c>
      <c r="J618" s="6">
        <v>-7893</v>
      </c>
      <c r="K618" s="6">
        <v>42135</v>
      </c>
      <c r="L618" s="6">
        <v>34242</v>
      </c>
      <c r="M618" s="6">
        <v>0</v>
      </c>
      <c r="N618" s="6">
        <v>0</v>
      </c>
      <c r="O618" s="6">
        <v>0</v>
      </c>
      <c r="P618" s="2" t="s">
        <v>1296</v>
      </c>
      <c r="Q618" s="2" t="s">
        <v>32</v>
      </c>
      <c r="R618" s="2" t="s">
        <v>1542</v>
      </c>
      <c r="S618" s="5">
        <v>1</v>
      </c>
      <c r="T618" s="1">
        <v>0</v>
      </c>
      <c r="U618" s="2">
        <f>T618+S618</f>
        <v>1</v>
      </c>
      <c r="V618" s="1">
        <v>0</v>
      </c>
      <c r="W618" s="2">
        <f t="shared" si="148"/>
        <v>1</v>
      </c>
      <c r="X618" s="8">
        <f t="shared" si="149"/>
        <v>100</v>
      </c>
    </row>
    <row r="619" spans="1:24" ht="15" customHeight="1">
      <c r="A619" s="9">
        <v>46054</v>
      </c>
      <c r="B619" s="2" t="s">
        <v>45</v>
      </c>
      <c r="C619" s="2" t="s">
        <v>1291</v>
      </c>
      <c r="D619" s="2" t="s">
        <v>1327</v>
      </c>
      <c r="E619" s="2" t="s">
        <v>1328</v>
      </c>
      <c r="F619" s="2"/>
      <c r="G619" s="2" t="s">
        <v>1295</v>
      </c>
      <c r="H619" s="2" t="s">
        <v>1329</v>
      </c>
      <c r="I619" s="6">
        <v>490</v>
      </c>
      <c r="J619" s="6">
        <v>-9960</v>
      </c>
      <c r="K619" s="6">
        <v>0</v>
      </c>
      <c r="L619" s="6">
        <v>0</v>
      </c>
      <c r="M619" s="6">
        <v>0</v>
      </c>
      <c r="N619" s="6">
        <v>0</v>
      </c>
      <c r="O619" s="6">
        <v>-9960</v>
      </c>
      <c r="P619" s="2" t="s">
        <v>1296</v>
      </c>
      <c r="Q619" s="2" t="s">
        <v>26</v>
      </c>
      <c r="R619" s="2" t="s">
        <v>1330</v>
      </c>
      <c r="S619" s="5">
        <v>0</v>
      </c>
      <c r="T619" s="1">
        <v>0</v>
      </c>
      <c r="U619" s="2">
        <f>T619+S619</f>
        <v>0</v>
      </c>
      <c r="V619" s="1">
        <v>1</v>
      </c>
      <c r="W619" s="2">
        <f t="shared" si="148"/>
        <v>1</v>
      </c>
      <c r="X619" s="8" t="e">
        <f t="shared" si="149"/>
        <v>#DIV/0!</v>
      </c>
    </row>
    <row r="620" spans="1:24" ht="15" customHeight="1">
      <c r="A620" s="9">
        <v>46054</v>
      </c>
      <c r="B620" s="2" t="s">
        <v>45</v>
      </c>
      <c r="C620" s="2" t="s">
        <v>1291</v>
      </c>
      <c r="D620" s="2" t="s">
        <v>1331</v>
      </c>
      <c r="E620" s="2" t="s">
        <v>1332</v>
      </c>
      <c r="F620" s="2" t="s">
        <v>1333</v>
      </c>
      <c r="G620" s="2" t="s">
        <v>1295</v>
      </c>
      <c r="H620" s="2" t="s">
        <v>531</v>
      </c>
      <c r="I620" s="6">
        <v>30</v>
      </c>
      <c r="J620" s="6">
        <v>2772</v>
      </c>
      <c r="K620" s="6">
        <v>2659</v>
      </c>
      <c r="L620" s="6">
        <v>5543</v>
      </c>
      <c r="M620" s="6">
        <v>0</v>
      </c>
      <c r="N620" s="6">
        <v>113</v>
      </c>
      <c r="O620" s="6">
        <v>1</v>
      </c>
      <c r="P620" s="2" t="s">
        <v>1296</v>
      </c>
      <c r="Q620" s="2" t="s">
        <v>32</v>
      </c>
      <c r="R620" s="2" t="s">
        <v>532</v>
      </c>
      <c r="S620" s="5">
        <v>1</v>
      </c>
      <c r="T620" s="1">
        <v>0</v>
      </c>
      <c r="U620" s="2">
        <f t="shared" si="147"/>
        <v>1</v>
      </c>
      <c r="V620" s="1">
        <v>0</v>
      </c>
      <c r="W620" s="2">
        <f t="shared" si="148"/>
        <v>1</v>
      </c>
      <c r="X620" s="8">
        <f t="shared" si="149"/>
        <v>100</v>
      </c>
    </row>
    <row r="621" spans="1:24">
      <c r="A621" s="9">
        <v>46054</v>
      </c>
      <c r="B621" s="2" t="s">
        <v>45</v>
      </c>
      <c r="C621" s="2" t="s">
        <v>1291</v>
      </c>
      <c r="D621" s="2" t="s">
        <v>1334</v>
      </c>
      <c r="E621" s="2" t="s">
        <v>1335</v>
      </c>
      <c r="F621" s="2" t="s">
        <v>1336</v>
      </c>
      <c r="G621" s="2" t="s">
        <v>1318</v>
      </c>
      <c r="H621" s="2" t="s">
        <v>867</v>
      </c>
      <c r="I621" s="6">
        <v>73.5</v>
      </c>
      <c r="J621" s="6">
        <v>47175102.32</v>
      </c>
      <c r="K621" s="6">
        <v>349873.68</v>
      </c>
      <c r="L621" s="6">
        <v>0</v>
      </c>
      <c r="M621" s="6">
        <v>0</v>
      </c>
      <c r="N621" s="6">
        <v>30662</v>
      </c>
      <c r="O621" s="6">
        <v>47555638</v>
      </c>
      <c r="P621" s="2" t="s">
        <v>40</v>
      </c>
      <c r="Q621" s="2" t="s">
        <v>32</v>
      </c>
      <c r="R621" s="2" t="s">
        <v>1277</v>
      </c>
      <c r="S621" s="5">
        <v>1</v>
      </c>
      <c r="T621" s="1">
        <v>0</v>
      </c>
      <c r="U621" s="2">
        <f t="shared" ref="U621" si="150">T621+S621</f>
        <v>1</v>
      </c>
      <c r="V621" s="1">
        <v>0</v>
      </c>
      <c r="W621" s="2">
        <f t="shared" ref="W621" si="151">V621+U621</f>
        <v>1</v>
      </c>
      <c r="X621" s="8">
        <f t="shared" ref="X621" si="152">100/U621*S621</f>
        <v>100</v>
      </c>
    </row>
    <row r="622" spans="1:24" ht="15" customHeight="1">
      <c r="A622" s="9">
        <v>46054</v>
      </c>
      <c r="B622" s="2" t="s">
        <v>95</v>
      </c>
      <c r="C622" s="2" t="s">
        <v>1291</v>
      </c>
      <c r="D622" s="2" t="s">
        <v>1337</v>
      </c>
      <c r="E622" s="2" t="s">
        <v>1338</v>
      </c>
      <c r="F622" s="2" t="s">
        <v>1339</v>
      </c>
      <c r="G622" s="2" t="s">
        <v>1305</v>
      </c>
      <c r="H622" s="2" t="s">
        <v>531</v>
      </c>
      <c r="I622" s="6">
        <v>20</v>
      </c>
      <c r="J622" s="6">
        <v>2560</v>
      </c>
      <c r="K622" s="6">
        <v>2360</v>
      </c>
      <c r="L622" s="6">
        <v>4920</v>
      </c>
      <c r="M622" s="6">
        <v>0</v>
      </c>
      <c r="N622" s="6">
        <v>0</v>
      </c>
      <c r="O622" s="6">
        <v>0</v>
      </c>
      <c r="P622" s="2" t="s">
        <v>1296</v>
      </c>
      <c r="Q622" s="2" t="s">
        <v>32</v>
      </c>
      <c r="R622" s="2" t="s">
        <v>1340</v>
      </c>
      <c r="S622" s="5">
        <v>1</v>
      </c>
      <c r="T622" s="1">
        <v>0</v>
      </c>
      <c r="U622" s="2">
        <f t="shared" ref="U622:U628" si="153">T622+S622</f>
        <v>1</v>
      </c>
      <c r="V622" s="1">
        <v>0</v>
      </c>
      <c r="W622" s="2">
        <f t="shared" ref="W622:W628" si="154">V622+U622</f>
        <v>1</v>
      </c>
      <c r="X622" s="8">
        <f t="shared" ref="X622:X628" si="155">100/U622*S622</f>
        <v>100</v>
      </c>
    </row>
    <row r="623" spans="1:24">
      <c r="A623" s="9">
        <v>46054</v>
      </c>
      <c r="B623" s="2" t="s">
        <v>95</v>
      </c>
      <c r="C623" s="2" t="s">
        <v>1291</v>
      </c>
      <c r="D623" s="2" t="s">
        <v>1341</v>
      </c>
      <c r="E623" s="2" t="s">
        <v>1342</v>
      </c>
      <c r="F623" s="2" t="s">
        <v>1343</v>
      </c>
      <c r="G623" s="2" t="s">
        <v>1318</v>
      </c>
      <c r="H623" s="2" t="s">
        <v>1344</v>
      </c>
      <c r="I623" s="6">
        <v>16</v>
      </c>
      <c r="J623" s="6">
        <v>18805850</v>
      </c>
      <c r="K623" s="6">
        <v>3318</v>
      </c>
      <c r="L623" s="6">
        <v>0</v>
      </c>
      <c r="M623" s="6">
        <v>0</v>
      </c>
      <c r="N623" s="6">
        <v>141</v>
      </c>
      <c r="O623" s="6">
        <v>18809309</v>
      </c>
      <c r="P623" s="2" t="s">
        <v>1296</v>
      </c>
      <c r="Q623" s="2" t="s">
        <v>32</v>
      </c>
      <c r="R623" s="2" t="s">
        <v>1345</v>
      </c>
      <c r="S623" s="5">
        <v>1</v>
      </c>
      <c r="T623" s="1">
        <v>0</v>
      </c>
      <c r="U623" s="2">
        <f t="shared" si="153"/>
        <v>1</v>
      </c>
      <c r="V623" s="1">
        <v>0</v>
      </c>
      <c r="W623" s="2">
        <f t="shared" si="154"/>
        <v>1</v>
      </c>
      <c r="X623" s="8">
        <f t="shared" si="155"/>
        <v>100</v>
      </c>
    </row>
    <row r="624" spans="1:24">
      <c r="A624" s="9">
        <v>46054</v>
      </c>
      <c r="B624" s="2" t="s">
        <v>95</v>
      </c>
      <c r="C624" s="2" t="s">
        <v>1291</v>
      </c>
      <c r="D624" s="2" t="s">
        <v>1346</v>
      </c>
      <c r="E624" s="2" t="s">
        <v>1347</v>
      </c>
      <c r="F624" s="2" t="s">
        <v>1348</v>
      </c>
      <c r="G624" s="2" t="s">
        <v>1305</v>
      </c>
      <c r="H624" s="2" t="s">
        <v>1302</v>
      </c>
      <c r="I624" s="6">
        <v>8</v>
      </c>
      <c r="J624" s="6">
        <v>20135</v>
      </c>
      <c r="K624" s="6">
        <v>17280</v>
      </c>
      <c r="L624" s="6">
        <v>37415</v>
      </c>
      <c r="M624" s="6">
        <v>0</v>
      </c>
      <c r="N624" s="6">
        <v>0</v>
      </c>
      <c r="O624" s="6">
        <v>0</v>
      </c>
      <c r="P624" s="2" t="s">
        <v>1296</v>
      </c>
      <c r="Q624" s="2" t="s">
        <v>32</v>
      </c>
      <c r="R624" s="2" t="s">
        <v>1349</v>
      </c>
      <c r="S624" s="5">
        <v>1</v>
      </c>
      <c r="T624" s="1">
        <v>0</v>
      </c>
      <c r="U624" s="2">
        <f t="shared" si="153"/>
        <v>1</v>
      </c>
      <c r="V624" s="1">
        <v>0</v>
      </c>
      <c r="W624" s="2">
        <f t="shared" si="154"/>
        <v>1</v>
      </c>
      <c r="X624" s="8">
        <f t="shared" si="155"/>
        <v>100</v>
      </c>
    </row>
    <row r="625" spans="1:24">
      <c r="A625" s="9">
        <v>46054</v>
      </c>
      <c r="B625" s="2" t="s">
        <v>95</v>
      </c>
      <c r="C625" s="2" t="s">
        <v>1291</v>
      </c>
      <c r="D625" s="2" t="s">
        <v>1307</v>
      </c>
      <c r="E625" s="2" t="s">
        <v>1308</v>
      </c>
      <c r="F625" s="2" t="s">
        <v>1309</v>
      </c>
      <c r="G625" s="2" t="s">
        <v>1310</v>
      </c>
      <c r="H625" s="2" t="s">
        <v>1302</v>
      </c>
      <c r="I625" s="6">
        <v>30</v>
      </c>
      <c r="J625" s="6">
        <v>44803</v>
      </c>
      <c r="K625" s="6">
        <v>1180</v>
      </c>
      <c r="L625" s="6">
        <v>0</v>
      </c>
      <c r="M625" s="6">
        <v>0</v>
      </c>
      <c r="N625" s="6">
        <v>50</v>
      </c>
      <c r="O625" s="6">
        <v>46033</v>
      </c>
      <c r="P625" s="2" t="s">
        <v>1296</v>
      </c>
      <c r="Q625" s="2" t="s">
        <v>32</v>
      </c>
      <c r="R625" s="2" t="s">
        <v>1277</v>
      </c>
      <c r="S625" s="5">
        <v>1</v>
      </c>
      <c r="T625" s="1">
        <v>0</v>
      </c>
      <c r="U625" s="2">
        <f t="shared" si="153"/>
        <v>1</v>
      </c>
      <c r="V625" s="1">
        <v>0</v>
      </c>
      <c r="W625" s="2">
        <f t="shared" si="154"/>
        <v>1</v>
      </c>
      <c r="X625" s="8">
        <f t="shared" si="155"/>
        <v>100</v>
      </c>
    </row>
    <row r="626" spans="1:24">
      <c r="A626" s="9">
        <v>46054</v>
      </c>
      <c r="B626" s="2" t="s">
        <v>95</v>
      </c>
      <c r="C626" s="2" t="s">
        <v>1291</v>
      </c>
      <c r="D626" s="2" t="s">
        <v>1324</v>
      </c>
      <c r="E626" s="2" t="s">
        <v>1325</v>
      </c>
      <c r="F626" s="2" t="s">
        <v>1326</v>
      </c>
      <c r="G626" s="2" t="s">
        <v>1310</v>
      </c>
      <c r="H626" s="2" t="s">
        <v>24</v>
      </c>
      <c r="I626" s="6">
        <v>30</v>
      </c>
      <c r="J626" s="6">
        <v>151904</v>
      </c>
      <c r="K626" s="6">
        <v>1180</v>
      </c>
      <c r="L626" s="6">
        <v>0</v>
      </c>
      <c r="M626" s="6">
        <v>0</v>
      </c>
      <c r="N626" s="6">
        <v>50</v>
      </c>
      <c r="O626" s="6">
        <v>153134</v>
      </c>
      <c r="P626" s="2" t="s">
        <v>1296</v>
      </c>
      <c r="Q626" s="2" t="s">
        <v>32</v>
      </c>
      <c r="R626" s="2" t="s">
        <v>1319</v>
      </c>
      <c r="S626" s="5">
        <v>1</v>
      </c>
      <c r="T626" s="1">
        <v>0</v>
      </c>
      <c r="U626" s="2">
        <f t="shared" si="153"/>
        <v>1</v>
      </c>
      <c r="V626" s="1">
        <v>0</v>
      </c>
      <c r="W626" s="2">
        <f t="shared" si="154"/>
        <v>1</v>
      </c>
      <c r="X626" s="8">
        <f t="shared" si="155"/>
        <v>100</v>
      </c>
    </row>
    <row r="627" spans="1:24">
      <c r="A627" s="9">
        <v>46054</v>
      </c>
      <c r="B627" s="2" t="s">
        <v>95</v>
      </c>
      <c r="C627" s="2" t="s">
        <v>1291</v>
      </c>
      <c r="D627" s="2" t="s">
        <v>1350</v>
      </c>
      <c r="E627" s="2" t="s">
        <v>1351</v>
      </c>
      <c r="F627" s="2" t="s">
        <v>1352</v>
      </c>
      <c r="G627" s="2" t="s">
        <v>1318</v>
      </c>
      <c r="H627" s="2" t="s">
        <v>24</v>
      </c>
      <c r="I627" s="6">
        <v>20</v>
      </c>
      <c r="J627" s="6">
        <v>0</v>
      </c>
      <c r="K627" s="6">
        <v>64506</v>
      </c>
      <c r="L627" s="6">
        <v>64506</v>
      </c>
      <c r="M627" s="6">
        <v>0</v>
      </c>
      <c r="N627" s="6">
        <v>0</v>
      </c>
      <c r="O627" s="6">
        <v>0</v>
      </c>
      <c r="P627" s="2" t="s">
        <v>1296</v>
      </c>
      <c r="Q627" s="2" t="s">
        <v>32</v>
      </c>
      <c r="R627" s="2" t="s">
        <v>652</v>
      </c>
      <c r="S627" s="5">
        <v>1</v>
      </c>
      <c r="T627" s="1">
        <v>0</v>
      </c>
      <c r="U627" s="2">
        <f t="shared" si="153"/>
        <v>1</v>
      </c>
      <c r="V627" s="1">
        <v>0</v>
      </c>
      <c r="W627" s="2">
        <f t="shared" si="154"/>
        <v>1</v>
      </c>
      <c r="X627" s="8">
        <f t="shared" si="155"/>
        <v>100</v>
      </c>
    </row>
    <row r="628" spans="1:24">
      <c r="A628" s="9">
        <v>46054</v>
      </c>
      <c r="B628" s="2" t="s">
        <v>95</v>
      </c>
      <c r="C628" s="2" t="s">
        <v>1291</v>
      </c>
      <c r="D628" s="2" t="s">
        <v>1353</v>
      </c>
      <c r="E628" s="2" t="s">
        <v>1354</v>
      </c>
      <c r="F628" s="2" t="s">
        <v>1355</v>
      </c>
      <c r="G628" s="2" t="s">
        <v>1318</v>
      </c>
      <c r="H628" s="2" t="s">
        <v>531</v>
      </c>
      <c r="I628" s="6">
        <v>18</v>
      </c>
      <c r="J628" s="6">
        <v>2560</v>
      </c>
      <c r="K628" s="6">
        <v>2360</v>
      </c>
      <c r="L628" s="6">
        <v>4920</v>
      </c>
      <c r="M628" s="6">
        <v>0</v>
      </c>
      <c r="N628" s="6">
        <v>0</v>
      </c>
      <c r="O628" s="6">
        <v>0</v>
      </c>
      <c r="P628" s="2" t="s">
        <v>1296</v>
      </c>
      <c r="Q628" s="2" t="s">
        <v>32</v>
      </c>
      <c r="R628" s="2" t="s">
        <v>1356</v>
      </c>
      <c r="S628" s="5">
        <v>1</v>
      </c>
      <c r="T628" s="1">
        <v>0</v>
      </c>
      <c r="U628" s="2">
        <f t="shared" si="153"/>
        <v>1</v>
      </c>
      <c r="V628" s="1">
        <v>0</v>
      </c>
      <c r="W628" s="2">
        <f t="shared" si="154"/>
        <v>1</v>
      </c>
      <c r="X628" s="8">
        <f t="shared" si="155"/>
        <v>100</v>
      </c>
    </row>
    <row r="629" spans="1:24">
      <c r="A629" s="9">
        <v>46054</v>
      </c>
      <c r="B629" s="2" t="s">
        <v>95</v>
      </c>
      <c r="C629" s="2" t="s">
        <v>1291</v>
      </c>
      <c r="D629" s="2" t="s">
        <v>1357</v>
      </c>
      <c r="E629" s="2" t="s">
        <v>1338</v>
      </c>
      <c r="F629" s="2" t="s">
        <v>1358</v>
      </c>
      <c r="G629" s="2" t="s">
        <v>1305</v>
      </c>
      <c r="H629" s="2" t="s">
        <v>531</v>
      </c>
      <c r="I629" s="6">
        <v>18</v>
      </c>
      <c r="J629" s="6">
        <v>2560</v>
      </c>
      <c r="K629" s="6">
        <v>2360</v>
      </c>
      <c r="L629" s="6">
        <v>4920</v>
      </c>
      <c r="M629" s="6">
        <v>0</v>
      </c>
      <c r="N629" s="6">
        <v>0</v>
      </c>
      <c r="O629" s="6">
        <v>0</v>
      </c>
      <c r="P629" s="2" t="s">
        <v>1296</v>
      </c>
      <c r="Q629" s="2" t="s">
        <v>32</v>
      </c>
      <c r="R629" s="2" t="s">
        <v>1340</v>
      </c>
      <c r="S629" s="5">
        <v>1</v>
      </c>
      <c r="T629" s="1">
        <v>0</v>
      </c>
      <c r="U629" s="2">
        <f t="shared" ref="U629:U634" si="156">T629+S629</f>
        <v>1</v>
      </c>
      <c r="V629" s="1">
        <v>0</v>
      </c>
      <c r="W629" s="2">
        <f t="shared" ref="W629:W634" si="157">V629+U629</f>
        <v>1</v>
      </c>
      <c r="X629" s="8">
        <f t="shared" ref="X629:X634" si="158">100/U629*S629</f>
        <v>100</v>
      </c>
    </row>
    <row r="630" spans="1:24">
      <c r="A630" s="9">
        <v>46054</v>
      </c>
      <c r="B630" s="2" t="s">
        <v>95</v>
      </c>
      <c r="C630" s="2" t="s">
        <v>1291</v>
      </c>
      <c r="D630" s="2" t="s">
        <v>1359</v>
      </c>
      <c r="E630" s="2" t="s">
        <v>1354</v>
      </c>
      <c r="F630" s="2" t="s">
        <v>1355</v>
      </c>
      <c r="G630" s="2" t="s">
        <v>1318</v>
      </c>
      <c r="H630" s="2" t="s">
        <v>531</v>
      </c>
      <c r="I630" s="6">
        <v>15</v>
      </c>
      <c r="J630" s="6">
        <v>2560</v>
      </c>
      <c r="K630" s="6">
        <v>2360</v>
      </c>
      <c r="L630" s="6">
        <v>4920</v>
      </c>
      <c r="M630" s="6">
        <v>0</v>
      </c>
      <c r="N630" s="6">
        <v>0</v>
      </c>
      <c r="O630" s="6">
        <v>0</v>
      </c>
      <c r="P630" s="2" t="s">
        <v>1296</v>
      </c>
      <c r="Q630" s="2" t="s">
        <v>32</v>
      </c>
      <c r="R630" s="2" t="s">
        <v>1356</v>
      </c>
      <c r="S630" s="5">
        <v>0</v>
      </c>
      <c r="T630" s="1">
        <v>1</v>
      </c>
      <c r="U630" s="2">
        <f t="shared" si="156"/>
        <v>1</v>
      </c>
      <c r="V630" s="1">
        <v>0</v>
      </c>
      <c r="W630" s="2">
        <f t="shared" si="157"/>
        <v>1</v>
      </c>
      <c r="X630" s="8">
        <f t="shared" si="158"/>
        <v>0</v>
      </c>
    </row>
    <row r="631" spans="1:24">
      <c r="A631" s="9">
        <v>46054</v>
      </c>
      <c r="B631" s="2" t="s">
        <v>95</v>
      </c>
      <c r="C631" s="2" t="s">
        <v>1291</v>
      </c>
      <c r="D631" s="2" t="s">
        <v>1360</v>
      </c>
      <c r="E631" s="2" t="s">
        <v>1361</v>
      </c>
      <c r="F631" s="2" t="s">
        <v>1362</v>
      </c>
      <c r="G631" s="2" t="s">
        <v>1306</v>
      </c>
      <c r="H631" s="2" t="s">
        <v>24</v>
      </c>
      <c r="I631" s="6">
        <v>6</v>
      </c>
      <c r="J631" s="6">
        <v>1280</v>
      </c>
      <c r="K631" s="6">
        <v>1180</v>
      </c>
      <c r="L631" s="6">
        <v>2460</v>
      </c>
      <c r="M631" s="6">
        <v>0</v>
      </c>
      <c r="N631" s="6">
        <v>0</v>
      </c>
      <c r="O631" s="6">
        <v>0</v>
      </c>
      <c r="P631" s="2" t="s">
        <v>1296</v>
      </c>
      <c r="Q631" s="2" t="s">
        <v>32</v>
      </c>
      <c r="R631" s="2" t="s">
        <v>1349</v>
      </c>
      <c r="S631" s="5">
        <v>1</v>
      </c>
      <c r="T631" s="1">
        <v>0</v>
      </c>
      <c r="U631" s="2">
        <f t="shared" si="156"/>
        <v>1</v>
      </c>
      <c r="V631" s="1">
        <v>0</v>
      </c>
      <c r="W631" s="2">
        <f t="shared" si="157"/>
        <v>1</v>
      </c>
      <c r="X631" s="8">
        <f t="shared" si="158"/>
        <v>100</v>
      </c>
    </row>
    <row r="632" spans="1:24">
      <c r="A632" s="9">
        <v>46054</v>
      </c>
      <c r="B632" s="2" t="s">
        <v>95</v>
      </c>
      <c r="C632" s="2" t="s">
        <v>1291</v>
      </c>
      <c r="D632" s="2" t="s">
        <v>1363</v>
      </c>
      <c r="E632" s="2" t="s">
        <v>1364</v>
      </c>
      <c r="F632" s="2" t="s">
        <v>1365</v>
      </c>
      <c r="G632" s="2" t="s">
        <v>1366</v>
      </c>
      <c r="H632" s="2" t="s">
        <v>24</v>
      </c>
      <c r="I632" s="6">
        <v>15</v>
      </c>
      <c r="J632" s="6">
        <v>0</v>
      </c>
      <c r="K632" s="6">
        <v>1180</v>
      </c>
      <c r="L632" s="6">
        <v>1180</v>
      </c>
      <c r="M632" s="6">
        <v>0</v>
      </c>
      <c r="N632" s="6">
        <v>0</v>
      </c>
      <c r="O632" s="6">
        <v>0</v>
      </c>
      <c r="P632" s="2" t="s">
        <v>1296</v>
      </c>
      <c r="Q632" s="2" t="s">
        <v>32</v>
      </c>
      <c r="R632" s="2" t="s">
        <v>652</v>
      </c>
      <c r="S632" s="5">
        <v>1</v>
      </c>
      <c r="T632" s="1">
        <v>0</v>
      </c>
      <c r="U632" s="2">
        <f t="shared" si="156"/>
        <v>1</v>
      </c>
      <c r="V632" s="1">
        <v>0</v>
      </c>
      <c r="W632" s="2">
        <f t="shared" si="157"/>
        <v>1</v>
      </c>
      <c r="X632" s="8">
        <f t="shared" si="158"/>
        <v>100</v>
      </c>
    </row>
    <row r="633" spans="1:24">
      <c r="A633" s="9">
        <v>46054</v>
      </c>
      <c r="B633" s="2" t="s">
        <v>95</v>
      </c>
      <c r="C633" s="2" t="s">
        <v>1291</v>
      </c>
      <c r="D633" s="2" t="s">
        <v>1367</v>
      </c>
      <c r="E633" s="2" t="s">
        <v>1368</v>
      </c>
      <c r="F633" s="2" t="s">
        <v>1365</v>
      </c>
      <c r="G633" s="2" t="s">
        <v>1295</v>
      </c>
      <c r="H633" s="2" t="s">
        <v>24</v>
      </c>
      <c r="I633" s="6">
        <v>15</v>
      </c>
      <c r="J633" s="6">
        <v>0</v>
      </c>
      <c r="K633" s="6">
        <v>1258</v>
      </c>
      <c r="L633" s="6">
        <v>1258</v>
      </c>
      <c r="M633" s="6">
        <v>0</v>
      </c>
      <c r="N633" s="6">
        <v>0</v>
      </c>
      <c r="O633" s="6">
        <v>0</v>
      </c>
      <c r="P633" s="2" t="s">
        <v>1296</v>
      </c>
      <c r="Q633" s="2" t="s">
        <v>32</v>
      </c>
      <c r="R633" s="2" t="s">
        <v>652</v>
      </c>
      <c r="S633" s="5">
        <v>1</v>
      </c>
      <c r="T633" s="1">
        <v>0</v>
      </c>
      <c r="U633" s="2">
        <f t="shared" si="156"/>
        <v>1</v>
      </c>
      <c r="V633" s="1">
        <v>0</v>
      </c>
      <c r="W633" s="2">
        <f t="shared" si="157"/>
        <v>1</v>
      </c>
      <c r="X633" s="8">
        <f t="shared" si="158"/>
        <v>100</v>
      </c>
    </row>
    <row r="634" spans="1:24" ht="15" customHeight="1">
      <c r="A634" s="9">
        <v>46054</v>
      </c>
      <c r="B634" s="2" t="s">
        <v>95</v>
      </c>
      <c r="C634" s="2" t="s">
        <v>1291</v>
      </c>
      <c r="D634" s="2" t="s">
        <v>1369</v>
      </c>
      <c r="E634" s="2" t="s">
        <v>1370</v>
      </c>
      <c r="F634" s="2" t="s">
        <v>1294</v>
      </c>
      <c r="G634" s="2" t="s">
        <v>1295</v>
      </c>
      <c r="H634" s="2" t="s">
        <v>24</v>
      </c>
      <c r="I634" s="6">
        <v>13</v>
      </c>
      <c r="J634" s="6">
        <v>0</v>
      </c>
      <c r="K634" s="6">
        <v>3262</v>
      </c>
      <c r="L634" s="6">
        <v>3262</v>
      </c>
      <c r="M634" s="6">
        <v>0</v>
      </c>
      <c r="N634" s="6">
        <v>0</v>
      </c>
      <c r="O634" s="6">
        <v>0</v>
      </c>
      <c r="P634" s="2" t="s">
        <v>1296</v>
      </c>
      <c r="Q634" s="2" t="s">
        <v>32</v>
      </c>
      <c r="R634" s="2" t="s">
        <v>1319</v>
      </c>
      <c r="S634" s="5">
        <v>1</v>
      </c>
      <c r="T634" s="1">
        <v>0</v>
      </c>
      <c r="U634" s="2">
        <f t="shared" si="156"/>
        <v>1</v>
      </c>
      <c r="V634" s="1">
        <v>0</v>
      </c>
      <c r="W634" s="2">
        <f t="shared" si="157"/>
        <v>1</v>
      </c>
      <c r="X634" s="8">
        <f t="shared" si="158"/>
        <v>100</v>
      </c>
    </row>
    <row r="635" spans="1:24" ht="15" customHeight="1">
      <c r="A635" s="9">
        <v>46054</v>
      </c>
      <c r="B635" s="2" t="s">
        <v>45</v>
      </c>
      <c r="C635" s="2" t="s">
        <v>1371</v>
      </c>
      <c r="D635" s="2" t="s">
        <v>1372</v>
      </c>
      <c r="E635" s="2" t="s">
        <v>1373</v>
      </c>
      <c r="F635" s="2" t="s">
        <v>1374</v>
      </c>
      <c r="G635" s="2" t="s">
        <v>1295</v>
      </c>
      <c r="H635" s="2" t="s">
        <v>94</v>
      </c>
      <c r="I635" s="6">
        <v>2000</v>
      </c>
      <c r="J635" s="6">
        <v>26899065</v>
      </c>
      <c r="K635" s="6">
        <v>224843</v>
      </c>
      <c r="L635" s="6">
        <v>0</v>
      </c>
      <c r="M635" s="6">
        <v>0</v>
      </c>
      <c r="N635" s="6">
        <v>14528</v>
      </c>
      <c r="O635" s="6">
        <v>27138436</v>
      </c>
      <c r="P635" s="2" t="s">
        <v>40</v>
      </c>
      <c r="Q635" s="2" t="s">
        <v>26</v>
      </c>
      <c r="R635" s="2" t="s">
        <v>1330</v>
      </c>
      <c r="S635" s="5">
        <v>0</v>
      </c>
      <c r="T635" s="1">
        <v>0</v>
      </c>
      <c r="U635" s="2">
        <f>T635+S635</f>
        <v>0</v>
      </c>
      <c r="V635" s="1">
        <v>1</v>
      </c>
      <c r="W635" s="2">
        <f t="shared" ref="W635:W637" si="159">V635+U635</f>
        <v>1</v>
      </c>
      <c r="X635" s="8" t="e">
        <f t="shared" ref="X635:X637" si="160">100/U635*S635</f>
        <v>#DIV/0!</v>
      </c>
    </row>
    <row r="636" spans="1:24" ht="15" customHeight="1">
      <c r="A636" s="9">
        <v>46054</v>
      </c>
      <c r="B636" s="2" t="s">
        <v>45</v>
      </c>
      <c r="C636" s="2" t="s">
        <v>1371</v>
      </c>
      <c r="D636" s="2" t="s">
        <v>1375</v>
      </c>
      <c r="E636" s="2" t="s">
        <v>1312</v>
      </c>
      <c r="F636" s="2" t="s">
        <v>1313</v>
      </c>
      <c r="G636" s="2" t="s">
        <v>1295</v>
      </c>
      <c r="H636" s="2" t="s">
        <v>531</v>
      </c>
      <c r="I636" s="6">
        <v>30</v>
      </c>
      <c r="J636" s="6">
        <v>2772</v>
      </c>
      <c r="K636" s="6">
        <v>2659</v>
      </c>
      <c r="L636" s="6">
        <v>5543</v>
      </c>
      <c r="M636" s="6">
        <v>0</v>
      </c>
      <c r="N636" s="6">
        <v>113</v>
      </c>
      <c r="O636" s="6">
        <v>1</v>
      </c>
      <c r="P636" s="2" t="s">
        <v>1296</v>
      </c>
      <c r="Q636" s="2" t="s">
        <v>32</v>
      </c>
      <c r="R636" s="2" t="s">
        <v>532</v>
      </c>
      <c r="S636" s="5">
        <v>1</v>
      </c>
      <c r="T636" s="1">
        <v>0</v>
      </c>
      <c r="U636" s="2">
        <f t="shared" ref="U636:U637" si="161">T636+S636</f>
        <v>1</v>
      </c>
      <c r="V636" s="1">
        <v>0</v>
      </c>
      <c r="W636" s="2">
        <f t="shared" si="159"/>
        <v>1</v>
      </c>
      <c r="X636" s="8">
        <f t="shared" si="160"/>
        <v>100</v>
      </c>
    </row>
    <row r="637" spans="1:24" ht="15" customHeight="1">
      <c r="A637" s="9">
        <v>46054</v>
      </c>
      <c r="B637" s="2" t="s">
        <v>45</v>
      </c>
      <c r="C637" s="2" t="s">
        <v>1371</v>
      </c>
      <c r="D637" s="2" t="s">
        <v>1376</v>
      </c>
      <c r="E637" s="2" t="s">
        <v>1377</v>
      </c>
      <c r="F637" s="2" t="s">
        <v>1318</v>
      </c>
      <c r="G637" s="2" t="s">
        <v>1318</v>
      </c>
      <c r="H637" s="2" t="s">
        <v>1329</v>
      </c>
      <c r="I637" s="6">
        <v>1000</v>
      </c>
      <c r="J637" s="6">
        <v>18585669</v>
      </c>
      <c r="K637" s="6">
        <v>9403070</v>
      </c>
      <c r="L637" s="6">
        <v>28316697</v>
      </c>
      <c r="M637" s="6">
        <v>0</v>
      </c>
      <c r="N637" s="6">
        <v>327958</v>
      </c>
      <c r="O637" s="6">
        <v>0</v>
      </c>
      <c r="P637" s="2" t="s">
        <v>1296</v>
      </c>
      <c r="Q637" s="2" t="s">
        <v>32</v>
      </c>
      <c r="R637" s="2" t="s">
        <v>1378</v>
      </c>
      <c r="S637" s="5">
        <v>1</v>
      </c>
      <c r="T637" s="1">
        <v>0</v>
      </c>
      <c r="U637" s="2">
        <f t="shared" si="161"/>
        <v>1</v>
      </c>
      <c r="V637" s="1">
        <v>0</v>
      </c>
      <c r="W637" s="2">
        <f t="shared" si="159"/>
        <v>1</v>
      </c>
      <c r="X637" s="8">
        <f t="shared" si="160"/>
        <v>100</v>
      </c>
    </row>
    <row r="638" spans="1:24">
      <c r="A638" s="9">
        <v>46054</v>
      </c>
      <c r="B638" s="2" t="s">
        <v>45</v>
      </c>
      <c r="C638" s="2" t="s">
        <v>1371</v>
      </c>
      <c r="D638" s="2" t="s">
        <v>1379</v>
      </c>
      <c r="E638" s="2" t="s">
        <v>1380</v>
      </c>
      <c r="F638" s="2" t="s">
        <v>1381</v>
      </c>
      <c r="G638" s="2" t="s">
        <v>1310</v>
      </c>
      <c r="H638" s="2" t="s">
        <v>24</v>
      </c>
      <c r="I638" s="6">
        <v>410</v>
      </c>
      <c r="J638" s="6">
        <v>-24478</v>
      </c>
      <c r="K638" s="6">
        <v>1720847</v>
      </c>
      <c r="L638" s="6">
        <v>1696369</v>
      </c>
      <c r="M638" s="6">
        <v>0</v>
      </c>
      <c r="N638" s="6">
        <v>0</v>
      </c>
      <c r="O638" s="6">
        <v>0</v>
      </c>
      <c r="P638" s="2" t="s">
        <v>1296</v>
      </c>
      <c r="Q638" s="2" t="s">
        <v>32</v>
      </c>
      <c r="R638" s="2" t="s">
        <v>1319</v>
      </c>
      <c r="S638" s="5">
        <v>1</v>
      </c>
      <c r="T638" s="1">
        <v>0</v>
      </c>
      <c r="U638" s="2">
        <f t="shared" ref="U638" si="162">T638+S638</f>
        <v>1</v>
      </c>
      <c r="V638" s="1">
        <v>0</v>
      </c>
      <c r="W638" s="2">
        <f t="shared" ref="W638" si="163">V638+U638</f>
        <v>1</v>
      </c>
      <c r="X638" s="8">
        <f t="shared" ref="X638" si="164">100/U638*S638</f>
        <v>100</v>
      </c>
    </row>
    <row r="639" spans="1:24" ht="15" customHeight="1">
      <c r="A639" s="9">
        <v>46054</v>
      </c>
      <c r="B639" s="2" t="s">
        <v>95</v>
      </c>
      <c r="C639" s="2" t="s">
        <v>1371</v>
      </c>
      <c r="D639" s="2" t="s">
        <v>1382</v>
      </c>
      <c r="E639" s="2" t="s">
        <v>1383</v>
      </c>
      <c r="F639" s="2" t="s">
        <v>1384</v>
      </c>
      <c r="G639" s="2" t="s">
        <v>1305</v>
      </c>
      <c r="H639" s="2" t="s">
        <v>24</v>
      </c>
      <c r="I639" s="6">
        <v>7</v>
      </c>
      <c r="J639" s="6">
        <v>-878673</v>
      </c>
      <c r="K639" s="6">
        <v>53628</v>
      </c>
      <c r="L639" s="6">
        <v>0</v>
      </c>
      <c r="M639" s="6">
        <v>0</v>
      </c>
      <c r="N639" s="6">
        <v>0</v>
      </c>
      <c r="O639" s="6">
        <v>-825045</v>
      </c>
      <c r="P639" s="2" t="s">
        <v>1296</v>
      </c>
      <c r="Q639" s="2" t="s">
        <v>32</v>
      </c>
      <c r="R639" s="2" t="s">
        <v>1385</v>
      </c>
      <c r="S639" s="5">
        <v>1</v>
      </c>
      <c r="T639" s="1">
        <v>0</v>
      </c>
      <c r="U639" s="2">
        <f t="shared" ref="U639" si="165">T639+S639</f>
        <v>1</v>
      </c>
      <c r="V639" s="1">
        <v>0</v>
      </c>
      <c r="W639" s="2">
        <f t="shared" ref="W639" si="166">V639+U639</f>
        <v>1</v>
      </c>
      <c r="X639" s="8">
        <f t="shared" ref="X639" si="167">100/U639*S639</f>
        <v>100</v>
      </c>
    </row>
    <row r="640" spans="1:24" ht="15" customHeight="1">
      <c r="A640" s="9">
        <v>46054</v>
      </c>
      <c r="B640" s="2" t="s">
        <v>45</v>
      </c>
      <c r="C640" s="2" t="s">
        <v>1386</v>
      </c>
      <c r="D640" s="2" t="s">
        <v>1387</v>
      </c>
      <c r="E640" s="2" t="s">
        <v>1388</v>
      </c>
      <c r="F640" s="2" t="s">
        <v>1389</v>
      </c>
      <c r="G640" s="2" t="s">
        <v>1390</v>
      </c>
      <c r="H640" s="2" t="s">
        <v>1240</v>
      </c>
      <c r="I640" s="6">
        <v>420</v>
      </c>
      <c r="J640" s="6">
        <v>0</v>
      </c>
      <c r="K640" s="6">
        <v>1962730</v>
      </c>
      <c r="L640" s="6">
        <v>1962730</v>
      </c>
      <c r="M640" s="6">
        <v>0</v>
      </c>
      <c r="N640" s="6">
        <v>0</v>
      </c>
      <c r="O640" s="6">
        <v>0</v>
      </c>
      <c r="P640" s="2" t="s">
        <v>40</v>
      </c>
      <c r="Q640" s="2" t="s">
        <v>32</v>
      </c>
      <c r="R640" s="2" t="s">
        <v>339</v>
      </c>
      <c r="S640" s="5">
        <v>1</v>
      </c>
      <c r="T640" s="1">
        <v>0</v>
      </c>
      <c r="U640" s="2">
        <f t="shared" ref="U640" si="168">T640+S640</f>
        <v>1</v>
      </c>
      <c r="V640" s="1">
        <v>0</v>
      </c>
      <c r="W640" s="2">
        <f t="shared" ref="W640" si="169">V640+U640</f>
        <v>1</v>
      </c>
      <c r="X640" s="8">
        <f t="shared" ref="X640:X641" si="170">100/U640*S640</f>
        <v>100</v>
      </c>
    </row>
    <row r="641" spans="1:24">
      <c r="A641" s="3">
        <f t="shared" ref="A641:R641" si="171">SUM(A3:A640)</f>
        <v>29382452</v>
      </c>
      <c r="B641" s="3">
        <f t="shared" si="171"/>
        <v>0</v>
      </c>
      <c r="C641" s="10"/>
      <c r="D641" s="11"/>
      <c r="E641" s="11"/>
      <c r="F641" s="11"/>
      <c r="G641" s="11"/>
      <c r="H641" s="12"/>
      <c r="I641" s="3">
        <f t="shared" ref="I641:P641" si="172">SUM(I2:I640)</f>
        <v>26646.490000000016</v>
      </c>
      <c r="J641" s="3">
        <f t="shared" si="172"/>
        <v>451573475.41999996</v>
      </c>
      <c r="K641" s="3">
        <f t="shared" si="172"/>
        <v>189381791.18000001</v>
      </c>
      <c r="L641" s="3">
        <f t="shared" si="172"/>
        <v>211451022</v>
      </c>
      <c r="M641" s="3">
        <f t="shared" si="172"/>
        <v>0</v>
      </c>
      <c r="N641" s="3">
        <f t="shared" si="172"/>
        <v>3849220</v>
      </c>
      <c r="O641" s="3">
        <f t="shared" si="172"/>
        <v>433353464.59999996</v>
      </c>
      <c r="P641" s="3">
        <f t="shared" si="172"/>
        <v>0</v>
      </c>
      <c r="Q641" s="3">
        <f t="shared" si="171"/>
        <v>0</v>
      </c>
      <c r="R641" s="3">
        <f t="shared" si="171"/>
        <v>0</v>
      </c>
      <c r="S641" s="3">
        <f t="shared" ref="S641:V641" si="173">SUM(S2:S640)</f>
        <v>459</v>
      </c>
      <c r="T641" s="3">
        <f t="shared" si="173"/>
        <v>106</v>
      </c>
      <c r="U641" s="3">
        <f t="shared" si="173"/>
        <v>565</v>
      </c>
      <c r="V641" s="3">
        <f t="shared" si="173"/>
        <v>74</v>
      </c>
      <c r="W641" s="3">
        <f>SUM(W2:W640)</f>
        <v>639</v>
      </c>
      <c r="X641" s="8">
        <f t="shared" si="170"/>
        <v>81.238938053097343</v>
      </c>
    </row>
  </sheetData>
  <autoFilter ref="A1:X641">
    <filterColumn colId="1"/>
    <filterColumn colId="16"/>
    <filterColumn colId="18"/>
    <filterColumn colId="19"/>
  </autoFilter>
  <mergeCells count="1">
    <mergeCell ref="C641:H64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RM TECH INFO</cp:lastModifiedBy>
  <dcterms:created xsi:type="dcterms:W3CDTF">2024-01-08T05:11:25Z</dcterms:created>
  <dcterms:modified xsi:type="dcterms:W3CDTF">2026-03-23T16:11:15Z</dcterms:modified>
</cp:coreProperties>
</file>